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 &amp; 엄수 규칙" sheetId="1" state="visible" r:id="rId1"/>
    <sheet xmlns:r="http://schemas.openxmlformats.org/officeDocument/2006/relationships" name="TC 시나리오" sheetId="2" state="visible" r:id="rId2"/>
    <sheet xmlns:r="http://schemas.openxmlformats.org/officeDocument/2006/relationships" name="요청사항(REQ)" sheetId="3" state="visible" r:id="rId3"/>
    <sheet xmlns:r="http://schemas.openxmlformats.org/officeDocument/2006/relationships" name="공통 TC 크로스" sheetId="4" state="visible" r:id="rId4"/>
    <sheet xmlns:r="http://schemas.openxmlformats.org/officeDocument/2006/relationships" name="기능 기준표" sheetId="5" state="visible" r:id="rId5"/>
  </sheets>
  <definedNames>
    <definedName name="_xlnm._FilterDatabase" localSheetId="1" hidden="1">'TC 시나리오'!$A$1:$R$132</definedName>
    <definedName name="_xlnm._FilterDatabase" localSheetId="2" hidden="1">'요청사항(REQ)'!$A$1:$U$10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10"/>
    </font>
    <font>
      <name val="맑은 고딕"/>
      <sz val="9"/>
    </font>
    <font>
      <name val="맑은 고딕"/>
      <i val="1"/>
      <sz val="9"/>
    </font>
    <font>
      <name val="맑은 고딕"/>
      <b val="1"/>
      <color rgb="0014542E"/>
      <sz val="9"/>
    </font>
    <font>
      <name val="맑은 고딕"/>
      <b val="1"/>
      <sz val="9"/>
    </font>
    <font>
      <name val="맑은 고딕"/>
      <b val="1"/>
      <color rgb="00FFFFFF"/>
      <sz val="10"/>
    </font>
    <font>
      <name val="맑은 고딕"/>
      <b val="1"/>
      <color rgb="00DC2626"/>
      <sz val="9"/>
    </font>
  </fonts>
  <fills count="4">
    <fill>
      <patternFill/>
    </fill>
    <fill>
      <patternFill patternType="gray125"/>
    </fill>
    <fill>
      <patternFill patternType="solid">
        <fgColor rgb="0014542E"/>
      </patternFill>
    </fill>
    <fill>
      <patternFill patternType="solid">
        <fgColor rgb="00F1F4F2"/>
      </patternFill>
    </fill>
  </fills>
  <borders count="6">
    <border>
      <left/>
      <right/>
      <top/>
      <bottom/>
      <diagonal/>
    </border>
    <border>
      <left style="thin">
        <color rgb="00E5E5E3"/>
      </left>
      <right style="thin">
        <color rgb="00E5E5E3"/>
      </right>
      <top style="thin">
        <color rgb="00E5E5E3"/>
      </top>
      <bottom style="thin">
        <color rgb="00E5E5E3"/>
      </bottom>
    </border>
    <border>
      <left/>
      <right/>
      <top style="thin">
        <color rgb="00E5E5E3"/>
      </top>
      <bottom/>
      <diagonal/>
    </border>
    <border>
      <left/>
      <right style="thin">
        <color rgb="00E5E5E3"/>
      </right>
      <top style="thin">
        <color rgb="00E5E5E3"/>
      </top>
      <bottom/>
      <diagonal/>
    </border>
    <border>
      <left/>
      <right/>
      <top style="thin">
        <color rgb="00E5E5E3"/>
      </top>
      <bottom style="thin">
        <color rgb="00E5E5E3"/>
      </bottom>
      <diagonal/>
    </border>
    <border>
      <left/>
      <right style="thin">
        <color rgb="00E5E5E3"/>
      </right>
      <top style="thin">
        <color rgb="00E5E5E3"/>
      </top>
      <bottom style="thin">
        <color rgb="00E5E5E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FarmFi 웹 QA 시트</t>
        </is>
      </c>
    </row>
    <row r="2">
      <c r="A2" s="2" t="inlineStr">
        <is>
          <t>대상</t>
        </is>
      </c>
      <c r="B2" s="3" t="inlineStr">
        <is>
          <t>https://farmfi.co.kr (프로덕션)</t>
        </is>
      </c>
      <c r="C2" s="4" t="n"/>
      <c r="D2" s="4" t="n"/>
      <c r="E2" s="4" t="n"/>
      <c r="F2" s="4" t="n"/>
      <c r="G2" s="4" t="n"/>
      <c r="H2" s="5" t="n"/>
    </row>
    <row r="3">
      <c r="A3" s="2" t="inlineStr">
        <is>
          <t>서비스 한 줄</t>
        </is>
      </c>
      <c r="B3" s="3" t="inlineStr">
        <is>
          <t>도심 유휴공실을 스마트팜 매장으로 전환하는 자금을 모으고, 검증된 마일스톤 단계에만 집행하는 웹 플랫폼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라운드</t>
        </is>
      </c>
      <c r="B4" s="3" t="inlineStr">
        <is>
          <t>1차 = 수정 전 프로덕션 QA · 2차 = 수정 반영 후 로컬 dev 재검증 + 추가 요청 확인 · 3차 = 같은 TC 를 배포본에서 재실행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기준 문서</t>
        </is>
      </c>
      <c r="B5" s="3" t="inlineStr">
        <is>
          <t>docs/feature-spec.md (2·3·5·6·7·8·14·18장) · 명세 18장 'MVP 완료 기준'과 '역할별 필수 인수 테스트'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수행 방식</t>
        </is>
      </c>
      <c r="B6" s="3" t="inlineStr">
        <is>
          <t>Playwright(Chromium)로 화면 직접 조작 + API 직접 호출. 쓰기 경로 포함. 수행 후 /api/demo/reset 으로 시드 복구.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수행 환경</t>
        </is>
      </c>
      <c r="B7" s="3" t="inlineStr">
        <is>
          <t>Chromium 1440x900 · mobile 390x844 · tablet 768x1024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수행 일자</t>
        </is>
      </c>
      <c r="B8" s="3" t="inlineStr">
        <is>
          <t>1차 2026-08-25 · 2차 2026-08-25 · 3차 2026-08-26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계정</t>
        </is>
      </c>
      <c r="B9" s="3" t="inlineStr">
        <is>
          <t>admin@ / operator@ / landlord@ / investor@ / investor2@ / demo@farmfi.test (시드 계정, 비밀번호 farmfi123)</t>
        </is>
      </c>
      <c r="C9" s="4" t="n"/>
      <c r="D9" s="4" t="n"/>
      <c r="E9" s="4" t="n"/>
      <c r="F9" s="4" t="n"/>
      <c r="G9" s="4" t="n"/>
      <c r="H9" s="5" t="n"/>
    </row>
    <row r="10">
      <c r="A10" s="15" t="inlineStr">
        <is>
          <t>배포 커밋</t>
        </is>
      </c>
      <c r="B10" s="16" t="inlineStr">
        <is>
          <t>1차 752175f5~5ed2c88c(세션 중 재배포) · 2차 로컬 dev · 3차 e81d8a05</t>
        </is>
      </c>
    </row>
    <row r="11">
      <c r="A11" s="1" t="inlineStr">
        <is>
          <t>TC 진행 현황</t>
        </is>
      </c>
    </row>
    <row r="12">
      <c r="A12" s="6" t="inlineStr">
        <is>
          <t>전체</t>
        </is>
      </c>
      <c r="B12" s="6" t="inlineStr">
        <is>
          <t>Pass</t>
        </is>
      </c>
      <c r="C12" s="6" t="inlineStr">
        <is>
          <t>Fail</t>
        </is>
      </c>
      <c r="D12" s="6" t="inlineStr">
        <is>
          <t>Blocked</t>
        </is>
      </c>
      <c r="E12" s="6" t="inlineStr">
        <is>
          <t>N/A</t>
        </is>
      </c>
      <c r="F12" s="6" t="inlineStr">
        <is>
          <t>미실행</t>
        </is>
      </c>
      <c r="G12" s="6" t="inlineStr">
        <is>
          <t>진행률</t>
        </is>
      </c>
    </row>
    <row r="13">
      <c r="A13" s="7">
        <f>COUNTA('TC 시나리오'!B2:B169)</f>
        <v/>
      </c>
      <c r="B13" s="7">
        <f>COUNTIF('TC 시나리오'!L2:L169,"Pass")</f>
        <v/>
      </c>
      <c r="C13" s="7">
        <f>COUNTIF('TC 시나리오'!L2:L169,"Fail")</f>
        <v/>
      </c>
      <c r="D13" s="7">
        <f>COUNTIF('TC 시나리오'!L2:L169,"Blocked")</f>
        <v/>
      </c>
      <c r="E13" s="7">
        <f>COUNTIF('TC 시나리오'!L2:L169,"N/A")</f>
        <v/>
      </c>
      <c r="F13" s="7">
        <f>COUNTIF('TC 시나리오'!L2:L169,"미실행")</f>
        <v/>
      </c>
      <c r="G13" s="7">
        <f>IFERROR(ROUND((B13+C13+D13+E13)/A13*100,1)&amp;"%","-")</f>
        <v/>
      </c>
    </row>
    <row r="14">
      <c r="A14" s="8" t="inlineStr">
        <is>
          <t>1차 Fail 12건은 수정 후 2차에서 Pass로 재확인됐고, 3차에서 배포본으로 같은 TC 를 다시 확인했다. 라운드마다 행을 새로 쌓아 앞 라운드 판정을 덮어쓰지 않는다.</t>
        </is>
      </c>
    </row>
    <row r="16">
      <c r="A16" s="1" t="inlineStr">
        <is>
          <t>요청사항(REQ) 처리 현황</t>
        </is>
      </c>
    </row>
    <row r="17">
      <c r="A17" s="6" t="inlineStr">
        <is>
          <t>전체</t>
        </is>
      </c>
      <c r="B17" s="6" t="inlineStr">
        <is>
          <t>확인 전</t>
        </is>
      </c>
      <c r="C17" s="6" t="inlineStr">
        <is>
          <t>처리 중</t>
        </is>
      </c>
      <c r="D17" s="6" t="inlineStr">
        <is>
          <t>처리 완료</t>
        </is>
      </c>
      <c r="E17" s="6" t="inlineStr">
        <is>
          <t>검수 완료</t>
        </is>
      </c>
      <c r="F17" s="6" t="inlineStr">
        <is>
          <t>긴급 버그</t>
        </is>
      </c>
      <c r="G17" s="6" t="inlineStr">
        <is>
          <t>Critical</t>
        </is>
      </c>
    </row>
    <row r="18">
      <c r="A18" s="7">
        <f>COUNTA('요청사항(REQ)'!A2:A10)</f>
        <v/>
      </c>
      <c r="B18" s="7">
        <f>COUNTIF('요청사항(REQ)'!O2:O10,"확인 전")</f>
        <v/>
      </c>
      <c r="C18" s="7">
        <f>COUNTIF('요청사항(REQ)'!O2:O10,"처리 중")</f>
        <v/>
      </c>
      <c r="D18" s="7">
        <f>COUNTIF('요청사항(REQ)'!O2:O10,"처리 완료")</f>
        <v/>
      </c>
      <c r="E18" s="7">
        <f>COUNTIF('요청사항(REQ)'!P2:P10,"검수 완료")</f>
        <v/>
      </c>
      <c r="F18" s="7">
        <f>COUNTIF('요청사항(REQ)'!C2:C10,"긴급 버그")</f>
        <v/>
      </c>
      <c r="G18" s="7">
        <f>COUNTIF('요청사항(REQ)'!D2:D10,"Critical")</f>
        <v/>
      </c>
    </row>
    <row r="20">
      <c r="A20" s="1" t="inlineStr">
        <is>
          <t>명세 18장 · 역할별 필수 인수 테스트</t>
        </is>
      </c>
    </row>
    <row r="21">
      <c r="A21" s="6" t="inlineStr">
        <is>
          <t>인수 기준 (명세 18장)</t>
        </is>
      </c>
      <c r="B21" s="6" t="inlineStr">
        <is>
          <t>연결 TC</t>
        </is>
      </c>
      <c r="C21" s="6" t="inlineStr">
        <is>
          <t>판정</t>
        </is>
      </c>
      <c r="D21" s="6" t="inlineStr"/>
      <c r="E21" s="6" t="inlineStr"/>
      <c r="F21" s="6" t="inlineStr"/>
      <c r="G21" s="6" t="inlineStr"/>
      <c r="H21" s="6" t="inlineStr">
        <is>
          <t>근거</t>
        </is>
      </c>
    </row>
    <row r="22" ht="32" customHeight="1">
      <c r="A22" s="3" t="inlineStr">
        <is>
          <t>투자자 · 중복 은행 웹훅이 와도 투자금이 한 번만 반영된다</t>
        </is>
      </c>
      <c r="B22" s="3" t="inlineStr">
        <is>
          <t>TC-D09, TC-D10, TC-X18</t>
        </is>
      </c>
      <c r="C22" s="9" t="inlineStr">
        <is>
          <t>Pass</t>
        </is>
      </c>
      <c r="D22" s="4" t="n"/>
      <c r="E22" s="4" t="n"/>
      <c r="F22" s="4" t="n"/>
      <c r="G22" s="5" t="n"/>
      <c r="H22" s="3" t="inlineStr">
        <is>
          <t>같은 거래번호 재전송(순차)과 동시 3발 모두 건수 불변, 5xx 없음</t>
        </is>
      </c>
    </row>
    <row r="23" ht="32" customHeight="1">
      <c r="A23" s="3" t="inlineStr">
        <is>
          <t>투자자 · 재시도해도 하나의 eventId만 기록되고 보유 구좌가 이중 발행되지 않는다</t>
        </is>
      </c>
      <c r="B23" s="3" t="inlineStr">
        <is>
          <t>TC-D09, TC-X19</t>
        </is>
      </c>
      <c r="C23" s="9" t="inlineStr">
        <is>
          <t>Pass</t>
        </is>
      </c>
      <c r="D23" s="4" t="n"/>
      <c r="E23" s="4" t="n"/>
      <c r="F23" s="4" t="n"/>
      <c r="G23" s="5" t="n"/>
      <c r="H23" s="3" t="inlineStr">
        <is>
          <t>eventId = deposit:{거래번호}:mint 로 트랜잭션 안에서 멱등. 거래번호가 다른 2차 입금은 REVIEW로 분리(REQ-001 수정)</t>
        </is>
      </c>
    </row>
    <row r="24" ht="32" customHeight="1">
      <c r="A24" s="3" t="inlineStr">
        <is>
          <t>권한 · 승인되지 않은 마일스톤은 집행 API가 거부한다</t>
        </is>
      </c>
      <c r="B24" s="3" t="inlineStr">
        <is>
          <t>TC-M01</t>
        </is>
      </c>
      <c r="C24" s="9" t="inlineStr">
        <is>
          <t>Pass</t>
        </is>
      </c>
      <c r="D24" s="4" t="n"/>
      <c r="E24" s="4" t="n"/>
      <c r="F24" s="4" t="n"/>
      <c r="G24" s="5" t="n"/>
      <c r="H24" s="3" t="inlineStr">
        <is>
          <t>pending 단계 집행 요청 → 400 거부 (관리자 세션에서도 거부)</t>
        </is>
      </c>
    </row>
    <row r="25" ht="32" customHeight="1">
      <c r="A25" s="3" t="inlineStr">
        <is>
          <t>권한 · 운영자는 배정되지 않은 공간의 증빙을 제출할 수 없다</t>
        </is>
      </c>
      <c r="B25" s="3" t="inlineStr">
        <is>
          <t>TC-O01, TC-X14, TC-X15</t>
        </is>
      </c>
      <c r="C25" s="9" t="inlineStr">
        <is>
          <t>Pass</t>
        </is>
      </c>
      <c r="D25" s="4" t="n"/>
      <c r="E25" s="4" t="n"/>
      <c r="F25" s="4" t="n"/>
      <c r="G25" s="5" t="n"/>
      <c r="H25" s="3" t="inlineStr">
        <is>
          <t>1차에서 operatorId 미지정 지점이 통과(REQ-003) → 수정 후 미배정·타인 배정 모두 403. 3차에서 배포본 재확인</t>
        </is>
      </c>
    </row>
    <row r="26" ht="32" customHeight="1">
      <c r="A26" s="3" t="inlineStr">
        <is>
          <t>권한 · 투자자는 운영자·관리자 메뉴나 API에 접근할 수 없다</t>
        </is>
      </c>
      <c r="B26" s="3" t="inlineStr">
        <is>
          <t>TC-P01~P05, TC-X07~X10</t>
        </is>
      </c>
      <c r="C26" s="9" t="inlineStr">
        <is>
          <t>Pass</t>
        </is>
      </c>
      <c r="D26" s="4" t="n"/>
      <c r="E26" s="4" t="n"/>
      <c r="F26" s="4" t="n"/>
      <c r="G26" s="5" t="n"/>
      <c r="H26" s="3" t="inlineStr">
        <is>
          <t>API는 1차부터 403. 화면은 1차에서 렌더됐고(REQ-004) 수정 후 자기 역할 홈으로 리다이렉트</t>
        </is>
      </c>
    </row>
    <row r="27" ht="32" customHeight="1">
      <c r="A27" s="3" t="inlineStr">
        <is>
          <t>구매자 · 지점을 먼저 선택해야 그 지점의 작물·슬롯으로 주문할 수 있다</t>
        </is>
      </c>
      <c r="B27" s="3" t="inlineStr">
        <is>
          <t>TC-B01, TC-B02</t>
        </is>
      </c>
      <c r="C27" s="9" t="inlineStr">
        <is>
          <t>Pass</t>
        </is>
      </c>
      <c r="D27" s="4" t="n"/>
      <c r="E27" s="4" t="n"/>
      <c r="F27" s="4" t="n"/>
      <c r="G27" s="5" t="n"/>
      <c r="H27" s="3" t="inlineStr">
        <is>
          <t>지점 미선택 시 작물 0개, 지점 선택 후에만 재고 기반 목록</t>
        </is>
      </c>
    </row>
    <row r="28" ht="32" customHeight="1">
      <c r="A28" s="3" t="inlineStr">
        <is>
          <t>사용자 화면 어디에도 STO·토큰 배정·지갑 주소·고정 수익 보장 문구가 없다</t>
        </is>
      </c>
      <c r="B28" s="3" t="inlineStr">
        <is>
          <t>TC-W01, TC-W02</t>
        </is>
      </c>
      <c r="C28" s="9" t="inlineStr">
        <is>
          <t>Pass</t>
        </is>
      </c>
      <c r="D28" s="4" t="n"/>
      <c r="E28" s="4" t="n"/>
      <c r="F28" s="4" t="n"/>
      <c r="G28" s="5" t="n"/>
      <c r="H28" s="3" t="inlineStr">
        <is>
          <t>1차 58개 화면 정규식 검사 0건. 이후 I-01 배분 현황 카드에 '총 배정 토큰·내 보유 토큰' 라벨이 들어갔고, 명세 18장이 그 두 개를 예외로 명시하도록 갱신됐다(값은 구좌로 센다). 3차 재검사 0건</t>
        </is>
      </c>
    </row>
    <row r="30">
      <c r="A30" s="1" t="inlineStr">
        <is>
          <t>엄수 규칙</t>
        </is>
      </c>
    </row>
    <row r="31">
      <c r="A31" s="10" t="inlineStr">
        <is>
          <t>① 코드·일시 공란 불가</t>
        </is>
      </c>
    </row>
    <row r="32">
      <c r="A32" s="10" t="inlineStr">
        <is>
          <t>② 시트 포맷 수정은 PO 요청 후</t>
        </is>
      </c>
    </row>
    <row r="33">
      <c r="A33" s="10" t="inlineStr">
        <is>
          <t>③ 판정·유형·상태는 드롭다운만 사용</t>
        </is>
      </c>
    </row>
    <row r="34">
      <c r="A34" s="10" t="inlineStr">
        <is>
          <t>④ Fail 이면 REQ 를 만들고 TC↔REQ 코드를 서로 적는다</t>
        </is>
      </c>
    </row>
    <row r="35">
      <c r="A35" s="10" t="inlineStr">
        <is>
          <t>⑤ REQ 등록 전 중복 검색</t>
        </is>
      </c>
    </row>
    <row r="36">
      <c r="A36" s="10" t="inlineStr">
        <is>
          <t>⑥ 크로스 시트는 자기 열만 채운다</t>
        </is>
      </c>
    </row>
    <row r="37">
      <c r="A37" s="10" t="inlineStr">
        <is>
          <t>⑦ TC 밖에서 발견한 것도 REQ 로 등록한다</t>
        </is>
      </c>
    </row>
    <row r="38">
      <c r="A38" s="10" t="n"/>
    </row>
    <row r="40">
      <c r="A40" s="1" t="inlineStr">
        <is>
          <t>판정 기준</t>
        </is>
      </c>
    </row>
    <row r="41">
      <c r="A41" s="10" t="inlineStr">
        <is>
          <t>Pass = 기대결과와 일치</t>
        </is>
      </c>
    </row>
    <row r="42">
      <c r="A42" s="10" t="inlineStr">
        <is>
          <t>Fail = 기대결과와 불일치</t>
        </is>
      </c>
    </row>
    <row r="43">
      <c r="A43" s="10" t="inlineStr">
        <is>
          <t>Blocked = 선행 이슈 또는 되돌릴 수 없는 동작이라 미실행</t>
        </is>
      </c>
    </row>
    <row r="44">
      <c r="A44" s="10" t="inlineStr">
        <is>
          <t>N/A = 이번 범위 아님</t>
        </is>
      </c>
    </row>
    <row r="45">
      <c r="A45" s="10" t="inlineStr">
        <is>
          <t>미실행 = 아직 실행하지 않음</t>
        </is>
      </c>
    </row>
    <row r="47">
      <c r="A47" s="1" t="inlineStr">
        <is>
          <t>[이 시트가 못 잡는 것]</t>
        </is>
      </c>
    </row>
    <row r="48">
      <c r="A48" s="10" t="inlineStr">
        <is>
          <t>- 성능·부하 / 보안 취약점 정밀 진단 / 접근성(스크린리더·키보드 내비) / 실기기 고유 이슈</t>
        </is>
      </c>
    </row>
    <row r="49">
      <c r="A49" s="10" t="inlineStr">
        <is>
          <t>- 운영자 앱(app/, Expo React Native) 전 범위 — 이번 QA 는 웹(frontend/)만 대상이다</t>
        </is>
      </c>
    </row>
    <row r="50">
      <c r="A50" s="10" t="inlineStr">
        <is>
          <t>- 실제 은행 송금·PG 결제는 지급사 웹훅 규약대로 호출하되 입금 자체는 시뮬레이션이다. 모바일 신분증은 3차에서 발급 요청까지 확인했다(TC-Z01).</t>
        </is>
      </c>
    </row>
    <row r="51">
      <c r="A51" s="10" t="inlineStr">
        <is>
          <t>- 3차는 배포본 e81d8a05 기준이다. 그 뒤 배포가 있으면 같은 TC 가 다른 코드를 본다.</t>
        </is>
      </c>
    </row>
    <row r="52">
      <c r="A52" s="10" t="inlineStr">
        <is>
          <t>- 라운드마다 배포 커밋을 적는다. 1차 QA 중 세션 도중 재배포가 실제로 있었다(REQ-009).</t>
        </is>
      </c>
    </row>
    <row r="53">
      <c r="A53" s="10" t="n"/>
    </row>
    <row r="54">
      <c r="A54" s="10" t="inlineStr">
        <is>
          <t>- 코드 레벨 원인 — REQ 의 '해결 방향'은 가설과 실제 수정 내용을 함께 적었고, 검수는 별도다.</t>
        </is>
      </c>
    </row>
    <row r="55">
      <c r="A55" s="10" t="inlineStr">
        <is>
          <t>- 명세 17.3 게이트(증권성 법률의견·신탁사 계약·은행/PG/모바일 신분증 실계약)는 개발 범위 밖이다</t>
        </is>
      </c>
    </row>
    <row r="56">
      <c r="A56" s="10" t="inlineStr"/>
    </row>
    <row r="57">
      <c r="A57" s="11" t="inlineStr">
        <is>
          <t>출시 가능 여부는 이 시트가 판정하지 않습니다. 결정은 만든 사람이 합니다.</t>
        </is>
      </c>
    </row>
  </sheetData>
  <mergeCells count="46">
    <mergeCell ref="A48:H48"/>
    <mergeCell ref="A30:H30"/>
    <mergeCell ref="B9:H9"/>
    <mergeCell ref="C24:G24"/>
    <mergeCell ref="A51:H51"/>
    <mergeCell ref="B6:H6"/>
    <mergeCell ref="A36:H36"/>
    <mergeCell ref="A11:H11"/>
    <mergeCell ref="A49:H49"/>
    <mergeCell ref="A1:H1"/>
    <mergeCell ref="A45:H45"/>
    <mergeCell ref="B5:H5"/>
    <mergeCell ref="C26:G26"/>
    <mergeCell ref="B4:H4"/>
    <mergeCell ref="A16:H16"/>
    <mergeCell ref="A54:H54"/>
    <mergeCell ref="C25:G25"/>
    <mergeCell ref="A41:H41"/>
    <mergeCell ref="B7:H7"/>
    <mergeCell ref="A37:H37"/>
    <mergeCell ref="C22:G22"/>
    <mergeCell ref="B3:H3"/>
    <mergeCell ref="A50:H50"/>
    <mergeCell ref="A56:H56"/>
    <mergeCell ref="A55:H55"/>
    <mergeCell ref="A57:H57"/>
    <mergeCell ref="A42:H42"/>
    <mergeCell ref="C27:G27"/>
    <mergeCell ref="B2:H2"/>
    <mergeCell ref="A14:H14"/>
    <mergeCell ref="A33:H33"/>
    <mergeCell ref="A47:H47"/>
    <mergeCell ref="C23:G23"/>
    <mergeCell ref="A32:H32"/>
    <mergeCell ref="A40:H40"/>
    <mergeCell ref="B8:H8"/>
    <mergeCell ref="A53:H53"/>
    <mergeCell ref="A35:H35"/>
    <mergeCell ref="A20:H20"/>
    <mergeCell ref="A38:H38"/>
    <mergeCell ref="A43:H43"/>
    <mergeCell ref="A52:H52"/>
    <mergeCell ref="C28:G28"/>
    <mergeCell ref="A44:H44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8" customWidth="1" min="4" max="4"/>
    <col width="26" customWidth="1" min="5" max="5"/>
    <col width="7" customWidth="1" min="6" max="6"/>
    <col width="42" customWidth="1" min="7" max="7"/>
    <col width="20" customWidth="1" min="8" max="8"/>
    <col width="26" customWidth="1" min="9" max="9"/>
    <col width="40" customWidth="1" min="10" max="10"/>
    <col width="11" customWidth="1" min="11" max="11"/>
    <col width="9" customWidth="1" min="12" max="12"/>
    <col width="20" customWidth="1" min="13" max="13"/>
    <col width="12" customWidth="1" min="14" max="14"/>
    <col width="14" customWidth="1" min="15" max="15"/>
    <col width="58" customWidth="1" min="16" max="16"/>
    <col width="9" customWidth="1" min="17" max="17"/>
    <col width="9" customWidth="1" min="18" max="18"/>
  </cols>
  <sheetData>
    <row r="1">
      <c r="A1" s="12" t="inlineStr">
        <is>
          <t>No</t>
        </is>
      </c>
      <c r="B1" s="12" t="inlineStr">
        <is>
          <t>TC 코드</t>
        </is>
      </c>
      <c r="C1" s="12" t="inlineStr">
        <is>
          <t>라운드</t>
        </is>
      </c>
      <c r="D1" s="12" t="inlineStr">
        <is>
          <t>기능 ID</t>
        </is>
      </c>
      <c r="E1" s="12" t="inlineStr">
        <is>
          <t>화면·경로</t>
        </is>
      </c>
      <c r="F1" s="12" t="inlineStr">
        <is>
          <t>구분</t>
        </is>
      </c>
      <c r="G1" s="12" t="inlineStr">
        <is>
          <t>시나리오</t>
        </is>
      </c>
      <c r="H1" s="12" t="inlineStr">
        <is>
          <t>사전 조건</t>
        </is>
      </c>
      <c r="I1" s="12" t="inlineStr">
        <is>
          <t>절차</t>
        </is>
      </c>
      <c r="J1" s="12" t="inlineStr">
        <is>
          <t>기대 결과</t>
        </is>
      </c>
      <c r="K1" s="12" t="inlineStr">
        <is>
          <t>귀속</t>
        </is>
      </c>
      <c r="L1" s="12" t="inlineStr">
        <is>
          <t>판정</t>
        </is>
      </c>
      <c r="M1" s="12" t="inlineStr">
        <is>
          <t>테스트 환경</t>
        </is>
      </c>
      <c r="N1" s="12" t="inlineStr">
        <is>
          <t>테스트 일시</t>
        </is>
      </c>
      <c r="O1" s="12" t="inlineStr">
        <is>
          <t>연결 요청 코드</t>
        </is>
      </c>
      <c r="P1" s="12" t="inlineStr">
        <is>
          <t>비고 (실제 관측값)</t>
        </is>
      </c>
      <c r="Q1" s="12" t="inlineStr">
        <is>
          <t>우선순위</t>
        </is>
      </c>
    </row>
    <row r="2" ht="30" customHeight="1">
      <c r="A2" s="3" t="n">
        <v>1</v>
      </c>
      <c r="B2" s="3" t="inlineStr">
        <is>
          <t>TC-V001</t>
        </is>
      </c>
      <c r="C2" s="3" t="inlineStr">
        <is>
          <t>1차</t>
        </is>
      </c>
      <c r="D2" s="3" t="inlineStr">
        <is>
          <t>F-01</t>
        </is>
      </c>
      <c r="E2" s="3" t="inlineStr">
        <is>
          <t>/</t>
        </is>
      </c>
      <c r="F2" s="3" t="inlineStr">
        <is>
          <t>정상</t>
        </is>
      </c>
      <c r="G2" s="3" t="inlineStr">
        <is>
          <t>비회원 세션으로 / 진입</t>
        </is>
      </c>
      <c r="H2" s="3" t="inlineStr">
        <is>
          <t>로그아웃 상태</t>
        </is>
      </c>
      <c r="I2" s="3" t="inlineStr">
        <is>
          <t>1. / 이동  2. 렌더·콘솔·네트워크 확인</t>
        </is>
      </c>
      <c r="J2" s="3" t="inlineStr">
        <is>
          <t>화면이 오류 없이 렌더되고 콘솔·네트워크 오류가 없다</t>
        </is>
      </c>
      <c r="K2" s="3" t="inlineStr"/>
      <c r="L2" s="13" t="inlineStr">
        <is>
          <t>Pass</t>
        </is>
      </c>
      <c r="M2" s="3" t="inlineStr">
        <is>
          <t>Chromium 1440x900 · mobile 390x844 · tablet 768x1024</t>
        </is>
      </c>
      <c r="N2" s="3" t="inlineStr">
        <is>
          <t>2026-08-25</t>
        </is>
      </c>
      <c r="O2" s="3" t="inlineStr"/>
      <c r="P2" s="3" t="inlineStr">
        <is>
          <t>HTTP 200</t>
        </is>
      </c>
      <c r="Q2" s="3" t="inlineStr">
        <is>
          <t>2순위</t>
        </is>
      </c>
    </row>
    <row r="3" ht="30" customHeight="1">
      <c r="A3" s="3" t="n">
        <v>2</v>
      </c>
      <c r="B3" s="3" t="inlineStr">
        <is>
          <t>TC-V002</t>
        </is>
      </c>
      <c r="C3" s="3" t="inlineStr">
        <is>
          <t>1차</t>
        </is>
      </c>
      <c r="D3" s="3" t="inlineStr">
        <is>
          <t>F-01</t>
        </is>
      </c>
      <c r="E3" s="3" t="inlineStr">
        <is>
          <t>/about</t>
        </is>
      </c>
      <c r="F3" s="3" t="inlineStr">
        <is>
          <t>정상</t>
        </is>
      </c>
      <c r="G3" s="3" t="inlineStr">
        <is>
          <t>비회원 세션으로 /about 진입</t>
        </is>
      </c>
      <c r="H3" s="3" t="inlineStr">
        <is>
          <t>로그아웃 상태</t>
        </is>
      </c>
      <c r="I3" s="3" t="inlineStr">
        <is>
          <t>1. /about 이동  2. 렌더·콘솔·네트워크 확인</t>
        </is>
      </c>
      <c r="J3" s="3" t="inlineStr">
        <is>
          <t>화면이 오류 없이 렌더되고 콘솔·네트워크 오류가 없다</t>
        </is>
      </c>
      <c r="K3" s="3" t="inlineStr"/>
      <c r="L3" s="13" t="inlineStr">
        <is>
          <t>Pass</t>
        </is>
      </c>
      <c r="M3" s="3" t="inlineStr">
        <is>
          <t>Chromium 1440x900 · mobile 390x844 · tablet 768x1024</t>
        </is>
      </c>
      <c r="N3" s="3" t="inlineStr">
        <is>
          <t>2026-08-25</t>
        </is>
      </c>
      <c r="O3" s="3" t="inlineStr"/>
      <c r="P3" s="3" t="inlineStr">
        <is>
          <t>HTTP 200</t>
        </is>
      </c>
      <c r="Q3" s="3" t="inlineStr">
        <is>
          <t>2순위</t>
        </is>
      </c>
    </row>
    <row r="4" ht="30" customHeight="1">
      <c r="A4" s="3" t="n">
        <v>3</v>
      </c>
      <c r="B4" s="3" t="inlineStr">
        <is>
          <t>TC-V003</t>
        </is>
      </c>
      <c r="C4" s="3" t="inlineStr">
        <is>
          <t>1차</t>
        </is>
      </c>
      <c r="D4" s="3" t="inlineStr">
        <is>
          <t>F-04</t>
        </is>
      </c>
      <c r="E4" s="3" t="inlineStr">
        <is>
          <t>/projects</t>
        </is>
      </c>
      <c r="F4" s="3" t="inlineStr">
        <is>
          <t>정상</t>
        </is>
      </c>
      <c r="G4" s="3" t="inlineStr">
        <is>
          <t>비회원 세션으로 /projects 진입</t>
        </is>
      </c>
      <c r="H4" s="3" t="inlineStr">
        <is>
          <t>로그아웃 상태</t>
        </is>
      </c>
      <c r="I4" s="3" t="inlineStr">
        <is>
          <t>1. /projects 이동  2. 렌더·콘솔·네트워크 확인</t>
        </is>
      </c>
      <c r="J4" s="3" t="inlineStr">
        <is>
          <t>화면이 오류 없이 렌더되고 콘솔·네트워크 오류가 없다</t>
        </is>
      </c>
      <c r="K4" s="3" t="inlineStr"/>
      <c r="L4" s="13" t="inlineStr">
        <is>
          <t>Pass</t>
        </is>
      </c>
      <c r="M4" s="3" t="inlineStr">
        <is>
          <t>Chromium 1440x900 · mobile 390x844 · tablet 768x1024</t>
        </is>
      </c>
      <c r="N4" s="3" t="inlineStr">
        <is>
          <t>2026-08-25</t>
        </is>
      </c>
      <c r="O4" s="3" t="inlineStr"/>
      <c r="P4" s="3" t="inlineStr">
        <is>
          <t>HTTP 200</t>
        </is>
      </c>
      <c r="Q4" s="3" t="inlineStr">
        <is>
          <t>2순위</t>
        </is>
      </c>
    </row>
    <row r="5" ht="30" customHeight="1">
      <c r="A5" s="3" t="n">
        <v>4</v>
      </c>
      <c r="B5" s="3" t="inlineStr">
        <is>
          <t>TC-V004</t>
        </is>
      </c>
      <c r="C5" s="3" t="inlineStr">
        <is>
          <t>1차</t>
        </is>
      </c>
      <c r="D5" s="3" t="inlineStr">
        <is>
          <t>F-09</t>
        </is>
      </c>
      <c r="E5" s="3" t="inlineStr">
        <is>
          <t>/subscribe</t>
        </is>
      </c>
      <c r="F5" s="3" t="inlineStr">
        <is>
          <t>정상</t>
        </is>
      </c>
      <c r="G5" s="3" t="inlineStr">
        <is>
          <t>비회원 세션으로 /subscribe 진입</t>
        </is>
      </c>
      <c r="H5" s="3" t="inlineStr">
        <is>
          <t>로그아웃 상태</t>
        </is>
      </c>
      <c r="I5" s="3" t="inlineStr">
        <is>
          <t>1. /subscribe 이동  2. 렌더·콘솔·네트워크 확인</t>
        </is>
      </c>
      <c r="J5" s="3" t="inlineStr">
        <is>
          <t>화면이 오류 없이 렌더되고 콘솔·네트워크 오류가 없다</t>
        </is>
      </c>
      <c r="K5" s="3" t="inlineStr"/>
      <c r="L5" s="13" t="inlineStr">
        <is>
          <t>Pass</t>
        </is>
      </c>
      <c r="M5" s="3" t="inlineStr">
        <is>
          <t>Chromium 1440x900 · mobile 390x844 · tablet 768x1024</t>
        </is>
      </c>
      <c r="N5" s="3" t="inlineStr">
        <is>
          <t>2026-08-25</t>
        </is>
      </c>
      <c r="O5" s="3" t="inlineStr"/>
      <c r="P5" s="3" t="inlineStr">
        <is>
          <t>HTTP 200</t>
        </is>
      </c>
      <c r="Q5" s="3" t="inlineStr">
        <is>
          <t>2순위</t>
        </is>
      </c>
    </row>
    <row r="6" ht="30" customHeight="1">
      <c r="A6" s="3" t="n">
        <v>5</v>
      </c>
      <c r="B6" s="3" t="inlineStr">
        <is>
          <t>TC-V005</t>
        </is>
      </c>
      <c r="C6" s="3" t="inlineStr">
        <is>
          <t>1차</t>
        </is>
      </c>
      <c r="D6" s="3" t="inlineStr">
        <is>
          <t>F-09</t>
        </is>
      </c>
      <c r="E6" s="3" t="inlineStr">
        <is>
          <t>/subscribe/plan</t>
        </is>
      </c>
      <c r="F6" s="3" t="inlineStr">
        <is>
          <t>정상</t>
        </is>
      </c>
      <c r="G6" s="3" t="inlineStr">
        <is>
          <t>비회원 세션으로 /subscribe/plan 진입</t>
        </is>
      </c>
      <c r="H6" s="3" t="inlineStr">
        <is>
          <t>로그아웃 상태</t>
        </is>
      </c>
      <c r="I6" s="3" t="inlineStr">
        <is>
          <t>1. /subscribe/plan 이동  2. 렌더·콘솔·네트워크 확인</t>
        </is>
      </c>
      <c r="J6" s="3" t="inlineStr">
        <is>
          <t>화면이 오류 없이 렌더되고 콘솔·네트워크 오류가 없다</t>
        </is>
      </c>
      <c r="K6" s="3" t="inlineStr"/>
      <c r="L6" s="13" t="inlineStr">
        <is>
          <t>Pass</t>
        </is>
      </c>
      <c r="M6" s="3" t="inlineStr">
        <is>
          <t>Chromium 1440x900 · mobile 390x844 · tablet 768x1024</t>
        </is>
      </c>
      <c r="N6" s="3" t="inlineStr">
        <is>
          <t>2026-08-25</t>
        </is>
      </c>
      <c r="O6" s="3" t="inlineStr"/>
      <c r="P6" s="3" t="inlineStr">
        <is>
          <t>HTTP 200</t>
        </is>
      </c>
      <c r="Q6" s="3" t="inlineStr">
        <is>
          <t>2순위</t>
        </is>
      </c>
    </row>
    <row r="7" ht="30" customHeight="1">
      <c r="A7" s="3" t="n">
        <v>6</v>
      </c>
      <c r="B7" s="3" t="inlineStr">
        <is>
          <t>TC-V006</t>
        </is>
      </c>
      <c r="C7" s="3" t="inlineStr">
        <is>
          <t>1차</t>
        </is>
      </c>
      <c r="D7" s="3" t="inlineStr">
        <is>
          <t>F-11</t>
        </is>
      </c>
      <c r="E7" s="3" t="inlineStr">
        <is>
          <t>/space</t>
        </is>
      </c>
      <c r="F7" s="3" t="inlineStr">
        <is>
          <t>정상</t>
        </is>
      </c>
      <c r="G7" s="3" t="inlineStr">
        <is>
          <t>비회원 세션으로 /space 진입</t>
        </is>
      </c>
      <c r="H7" s="3" t="inlineStr">
        <is>
          <t>로그아웃 상태</t>
        </is>
      </c>
      <c r="I7" s="3" t="inlineStr">
        <is>
          <t>1. /space 이동  2. 렌더·콘솔·네트워크 확인</t>
        </is>
      </c>
      <c r="J7" s="3" t="inlineStr">
        <is>
          <t>화면이 오류 없이 렌더되고 콘솔·네트워크 오류가 없다</t>
        </is>
      </c>
      <c r="K7" s="3" t="inlineStr"/>
      <c r="L7" s="13" t="inlineStr">
        <is>
          <t>Pass</t>
        </is>
      </c>
      <c r="M7" s="3" t="inlineStr">
        <is>
          <t>Chromium 1440x900 · mobile 390x844 · tablet 768x1024</t>
        </is>
      </c>
      <c r="N7" s="3" t="inlineStr">
        <is>
          <t>2026-08-25</t>
        </is>
      </c>
      <c r="O7" s="3" t="inlineStr"/>
      <c r="P7" s="3" t="inlineStr">
        <is>
          <t>HTTP 200</t>
        </is>
      </c>
      <c r="Q7" s="3" t="inlineStr">
        <is>
          <t>2순위</t>
        </is>
      </c>
    </row>
    <row r="8" ht="30" customHeight="1">
      <c r="A8" s="3" t="n">
        <v>7</v>
      </c>
      <c r="B8" s="3" t="inlineStr">
        <is>
          <t>TC-V007</t>
        </is>
      </c>
      <c r="C8" s="3" t="inlineStr">
        <is>
          <t>1차</t>
        </is>
      </c>
      <c r="D8" s="3" t="inlineStr">
        <is>
          <t>F-01</t>
        </is>
      </c>
      <c r="E8" s="3" t="inlineStr">
        <is>
          <t>/start</t>
        </is>
      </c>
      <c r="F8" s="3" t="inlineStr">
        <is>
          <t>정상</t>
        </is>
      </c>
      <c r="G8" s="3" t="inlineStr">
        <is>
          <t>비회원 세션으로 /start 진입</t>
        </is>
      </c>
      <c r="H8" s="3" t="inlineStr">
        <is>
          <t>로그아웃 상태</t>
        </is>
      </c>
      <c r="I8" s="3" t="inlineStr">
        <is>
          <t>1. /start 이동  2. 렌더·콘솔·네트워크 확인</t>
        </is>
      </c>
      <c r="J8" s="3" t="inlineStr">
        <is>
          <t>화면이 오류 없이 렌더되고 콘솔·네트워크 오류가 없다</t>
        </is>
      </c>
      <c r="K8" s="3" t="inlineStr"/>
      <c r="L8" s="13" t="inlineStr">
        <is>
          <t>Pass</t>
        </is>
      </c>
      <c r="M8" s="3" t="inlineStr">
        <is>
          <t>Chromium 1440x900 · mobile 390x844 · tablet 768x1024</t>
        </is>
      </c>
      <c r="N8" s="3" t="inlineStr">
        <is>
          <t>2026-08-25</t>
        </is>
      </c>
      <c r="O8" s="3" t="inlineStr"/>
      <c r="P8" s="3" t="inlineStr">
        <is>
          <t>HTTP 200</t>
        </is>
      </c>
      <c r="Q8" s="3" t="inlineStr">
        <is>
          <t>2순위</t>
        </is>
      </c>
    </row>
    <row r="9" ht="30" customHeight="1">
      <c r="A9" s="3" t="n">
        <v>8</v>
      </c>
      <c r="B9" s="3" t="inlineStr">
        <is>
          <t>TC-V008</t>
        </is>
      </c>
      <c r="C9" s="3" t="inlineStr">
        <is>
          <t>1차</t>
        </is>
      </c>
      <c r="D9" s="3" t="inlineStr">
        <is>
          <t>F-02</t>
        </is>
      </c>
      <c r="E9" s="3" t="inlineStr">
        <is>
          <t>/login</t>
        </is>
      </c>
      <c r="F9" s="3" t="inlineStr">
        <is>
          <t>정상</t>
        </is>
      </c>
      <c r="G9" s="3" t="inlineStr">
        <is>
          <t>비회원 세션으로 /login 진입</t>
        </is>
      </c>
      <c r="H9" s="3" t="inlineStr">
        <is>
          <t>로그아웃 상태</t>
        </is>
      </c>
      <c r="I9" s="3" t="inlineStr">
        <is>
          <t>1. /login 이동  2. 렌더·콘솔·네트워크 확인</t>
        </is>
      </c>
      <c r="J9" s="3" t="inlineStr">
        <is>
          <t>화면이 오류 없이 렌더되고 콘솔·네트워크 오류가 없다</t>
        </is>
      </c>
      <c r="K9" s="3" t="inlineStr"/>
      <c r="L9" s="13" t="inlineStr">
        <is>
          <t>Pass</t>
        </is>
      </c>
      <c r="M9" s="3" t="inlineStr">
        <is>
          <t>Chromium 1440x900 · mobile 390x844 · tablet 768x1024</t>
        </is>
      </c>
      <c r="N9" s="3" t="inlineStr">
        <is>
          <t>2026-08-25</t>
        </is>
      </c>
      <c r="O9" s="3" t="inlineStr"/>
      <c r="P9" s="3" t="inlineStr">
        <is>
          <t>HTTP 200</t>
        </is>
      </c>
      <c r="Q9" s="3" t="inlineStr">
        <is>
          <t>2순위</t>
        </is>
      </c>
    </row>
    <row r="10" ht="30" customHeight="1">
      <c r="A10" s="3" t="n">
        <v>9</v>
      </c>
      <c r="B10" s="3" t="inlineStr">
        <is>
          <t>TC-V009</t>
        </is>
      </c>
      <c r="C10" s="3" t="inlineStr">
        <is>
          <t>1차</t>
        </is>
      </c>
      <c r="D10" s="3" t="inlineStr">
        <is>
          <t>F-02</t>
        </is>
      </c>
      <c r="E10" s="3" t="inlineStr">
        <is>
          <t>/signup</t>
        </is>
      </c>
      <c r="F10" s="3" t="inlineStr">
        <is>
          <t>정상</t>
        </is>
      </c>
      <c r="G10" s="3" t="inlineStr">
        <is>
          <t>비회원 세션으로 /signup 진입</t>
        </is>
      </c>
      <c r="H10" s="3" t="inlineStr">
        <is>
          <t>로그아웃 상태</t>
        </is>
      </c>
      <c r="I10" s="3" t="inlineStr">
        <is>
          <t>1. /signup 이동  2. 렌더·콘솔·네트워크 확인</t>
        </is>
      </c>
      <c r="J10" s="3" t="inlineStr">
        <is>
          <t>화면이 오류 없이 렌더되고 콘솔·네트워크 오류가 없다</t>
        </is>
      </c>
      <c r="K10" s="3" t="inlineStr"/>
      <c r="L10" s="13" t="inlineStr">
        <is>
          <t>Pass</t>
        </is>
      </c>
      <c r="M10" s="3" t="inlineStr">
        <is>
          <t>Chromium 1440x900 · mobile 390x844 · tablet 768x1024</t>
        </is>
      </c>
      <c r="N10" s="3" t="inlineStr">
        <is>
          <t>2026-08-25</t>
        </is>
      </c>
      <c r="O10" s="3" t="inlineStr"/>
      <c r="P10" s="3" t="inlineStr">
        <is>
          <t>HTTP 200</t>
        </is>
      </c>
      <c r="Q10" s="3" t="inlineStr">
        <is>
          <t>2순위</t>
        </is>
      </c>
    </row>
    <row r="11" ht="30" customHeight="1">
      <c r="A11" s="3" t="n">
        <v>10</v>
      </c>
      <c r="B11" s="3" t="inlineStr">
        <is>
          <t>TC-V010</t>
        </is>
      </c>
      <c r="C11" s="3" t="inlineStr">
        <is>
          <t>1차</t>
        </is>
      </c>
      <c r="D11" s="3" t="inlineStr">
        <is>
          <t>F-08</t>
        </is>
      </c>
      <c r="E11" s="3" t="inlineStr">
        <is>
          <t>/investor</t>
        </is>
      </c>
      <c r="F11" s="3" t="inlineStr">
        <is>
          <t>정상</t>
        </is>
      </c>
      <c r="G11" s="3" t="inlineStr">
        <is>
          <t>투자자 세션으로 /investor 진입</t>
        </is>
      </c>
      <c r="H11" s="3" t="inlineStr">
        <is>
          <t>투자자 계정 로그인</t>
        </is>
      </c>
      <c r="I11" s="3" t="inlineStr">
        <is>
          <t>1. /investor 이동  2. 렌더·콘솔·네트워크 확인</t>
        </is>
      </c>
      <c r="J11" s="3" t="inlineStr">
        <is>
          <t>화면이 오류 없이 렌더되고 콘솔·네트워크 오류가 없다</t>
        </is>
      </c>
      <c r="K11" s="3" t="inlineStr"/>
      <c r="L11" s="13" t="inlineStr">
        <is>
          <t>Pass</t>
        </is>
      </c>
      <c r="M11" s="3" t="inlineStr">
        <is>
          <t>Chromium 1440x900 · mobile 390x844 · tablet 768x1024</t>
        </is>
      </c>
      <c r="N11" s="3" t="inlineStr">
        <is>
          <t>2026-08-25</t>
        </is>
      </c>
      <c r="O11" s="3" t="inlineStr"/>
      <c r="P11" s="3" t="inlineStr">
        <is>
          <t>HTTP 200</t>
        </is>
      </c>
      <c r="Q11" s="3" t="inlineStr">
        <is>
          <t>2순위</t>
        </is>
      </c>
    </row>
    <row r="12" ht="30" customHeight="1">
      <c r="A12" s="3" t="n">
        <v>11</v>
      </c>
      <c r="B12" s="3" t="inlineStr">
        <is>
          <t>TC-V011</t>
        </is>
      </c>
      <c r="C12" s="3" t="inlineStr">
        <is>
          <t>1차</t>
        </is>
      </c>
      <c r="D12" s="3" t="inlineStr">
        <is>
          <t>F-08</t>
        </is>
      </c>
      <c r="E12" s="3" t="inlineStr">
        <is>
          <t>/investor/holdings</t>
        </is>
      </c>
      <c r="F12" s="3" t="inlineStr">
        <is>
          <t>정상</t>
        </is>
      </c>
      <c r="G12" s="3" t="inlineStr">
        <is>
          <t>투자자 세션으로 /investor/holdings 진입</t>
        </is>
      </c>
      <c r="H12" s="3" t="inlineStr">
        <is>
          <t>투자자 계정 로그인</t>
        </is>
      </c>
      <c r="I12" s="3" t="inlineStr">
        <is>
          <t>1. /investor/holdings 이동  2. 렌더·콘솔·네트워크 확인</t>
        </is>
      </c>
      <c r="J12" s="3" t="inlineStr">
        <is>
          <t>화면이 오류 없이 렌더되고 콘솔·네트워크 오류가 없다</t>
        </is>
      </c>
      <c r="K12" s="3" t="inlineStr"/>
      <c r="L12" s="13" t="inlineStr">
        <is>
          <t>Pass</t>
        </is>
      </c>
      <c r="M12" s="3" t="inlineStr">
        <is>
          <t>Chromium 1440x900 · mobile 390x844 · tablet 768x1024</t>
        </is>
      </c>
      <c r="N12" s="3" t="inlineStr">
        <is>
          <t>2026-08-25</t>
        </is>
      </c>
      <c r="O12" s="3" t="inlineStr"/>
      <c r="P12" s="3" t="inlineStr">
        <is>
          <t>HTTP 200</t>
        </is>
      </c>
      <c r="Q12" s="3" t="inlineStr">
        <is>
          <t>2순위</t>
        </is>
      </c>
    </row>
    <row r="13" ht="30" customHeight="1">
      <c r="A13" s="3" t="n">
        <v>12</v>
      </c>
      <c r="B13" s="3" t="inlineStr">
        <is>
          <t>TC-V012</t>
        </is>
      </c>
      <c r="C13" s="3" t="inlineStr">
        <is>
          <t>1차</t>
        </is>
      </c>
      <c r="D13" s="3" t="inlineStr">
        <is>
          <t>F-08</t>
        </is>
      </c>
      <c r="E13" s="3" t="inlineStr">
        <is>
          <t>/investor/applications</t>
        </is>
      </c>
      <c r="F13" s="3" t="inlineStr">
        <is>
          <t>정상</t>
        </is>
      </c>
      <c r="G13" s="3" t="inlineStr">
        <is>
          <t>투자자 세션으로 /investor/applications 진입</t>
        </is>
      </c>
      <c r="H13" s="3" t="inlineStr">
        <is>
          <t>투자자 계정 로그인</t>
        </is>
      </c>
      <c r="I13" s="3" t="inlineStr">
        <is>
          <t>1. /investor/applications 이동  2. 렌더·콘솔·네트워크 확인</t>
        </is>
      </c>
      <c r="J13" s="3" t="inlineStr">
        <is>
          <t>화면이 오류 없이 렌더되고 콘솔·네트워크 오류가 없다</t>
        </is>
      </c>
      <c r="K13" s="3" t="inlineStr"/>
      <c r="L13" s="13" t="inlineStr">
        <is>
          <t>Pass</t>
        </is>
      </c>
      <c r="M13" s="3" t="inlineStr">
        <is>
          <t>Chromium 1440x900 · mobile 390x844 · tablet 768x1024</t>
        </is>
      </c>
      <c r="N13" s="3" t="inlineStr">
        <is>
          <t>2026-08-25</t>
        </is>
      </c>
      <c r="O13" s="3" t="inlineStr"/>
      <c r="P13" s="3" t="inlineStr">
        <is>
          <t>HTTP 200</t>
        </is>
      </c>
      <c r="Q13" s="3" t="inlineStr">
        <is>
          <t>2순위</t>
        </is>
      </c>
    </row>
    <row r="14" ht="30" customHeight="1">
      <c r="A14" s="3" t="n">
        <v>13</v>
      </c>
      <c r="B14" s="3" t="inlineStr">
        <is>
          <t>TC-V013</t>
        </is>
      </c>
      <c r="C14" s="3" t="inlineStr">
        <is>
          <t>1차</t>
        </is>
      </c>
      <c r="D14" s="3" t="inlineStr">
        <is>
          <t>F-08</t>
        </is>
      </c>
      <c r="E14" s="3" t="inlineStr">
        <is>
          <t>/investor/notifications</t>
        </is>
      </c>
      <c r="F14" s="3" t="inlineStr">
        <is>
          <t>정상</t>
        </is>
      </c>
      <c r="G14" s="3" t="inlineStr">
        <is>
          <t>투자자 세션으로 /investor/notifications 진입</t>
        </is>
      </c>
      <c r="H14" s="3" t="inlineStr">
        <is>
          <t>투자자 계정 로그인</t>
        </is>
      </c>
      <c r="I14" s="3" t="inlineStr">
        <is>
          <t>1. /investor/notifications 이동  2. 렌더·콘솔·네트워크 확인</t>
        </is>
      </c>
      <c r="J14" s="3" t="inlineStr">
        <is>
          <t>화면이 오류 없이 렌더되고 콘솔·네트워크 오류가 없다</t>
        </is>
      </c>
      <c r="K14" s="3" t="inlineStr"/>
      <c r="L14" s="13" t="inlineStr">
        <is>
          <t>Pass</t>
        </is>
      </c>
      <c r="M14" s="3" t="inlineStr">
        <is>
          <t>Chromium 1440x900 · mobile 390x844 · tablet 768x1024</t>
        </is>
      </c>
      <c r="N14" s="3" t="inlineStr">
        <is>
          <t>2026-08-25</t>
        </is>
      </c>
      <c r="O14" s="3" t="inlineStr"/>
      <c r="P14" s="3" t="inlineStr">
        <is>
          <t>HTTP 200</t>
        </is>
      </c>
      <c r="Q14" s="3" t="inlineStr">
        <is>
          <t>2순위</t>
        </is>
      </c>
    </row>
    <row r="15" ht="30" customHeight="1">
      <c r="A15" s="3" t="n">
        <v>14</v>
      </c>
      <c r="B15" s="3" t="inlineStr">
        <is>
          <t>TC-V014</t>
        </is>
      </c>
      <c r="C15" s="3" t="inlineStr">
        <is>
          <t>1차</t>
        </is>
      </c>
      <c r="D15" s="3" t="inlineStr">
        <is>
          <t>F-08</t>
        </is>
      </c>
      <c r="E15" s="3" t="inlineStr">
        <is>
          <t>/investor/notifications/settings</t>
        </is>
      </c>
      <c r="F15" s="3" t="inlineStr">
        <is>
          <t>정상</t>
        </is>
      </c>
      <c r="G15" s="3" t="inlineStr">
        <is>
          <t>투자자 세션으로 /investor/notifications/settings 진입</t>
        </is>
      </c>
      <c r="H15" s="3" t="inlineStr">
        <is>
          <t>투자자 계정 로그인</t>
        </is>
      </c>
      <c r="I15" s="3" t="inlineStr">
        <is>
          <t>1. /investor/notifications/settings 이동  2. 렌더·콘솔·네트워크 확인</t>
        </is>
      </c>
      <c r="J15" s="3" t="inlineStr">
        <is>
          <t>화면이 오류 없이 렌더되고 콘솔·네트워크 오류가 없다</t>
        </is>
      </c>
      <c r="K15" s="3" t="inlineStr"/>
      <c r="L15" s="13" t="inlineStr">
        <is>
          <t>Pass</t>
        </is>
      </c>
      <c r="M15" s="3" t="inlineStr">
        <is>
          <t>Chromium 1440x900 · mobile 390x844 · tablet 768x1024</t>
        </is>
      </c>
      <c r="N15" s="3" t="inlineStr">
        <is>
          <t>2026-08-25</t>
        </is>
      </c>
      <c r="O15" s="3" t="inlineStr"/>
      <c r="P15" s="3" t="inlineStr">
        <is>
          <t>HTTP 200</t>
        </is>
      </c>
      <c r="Q15" s="3" t="inlineStr">
        <is>
          <t>2순위</t>
        </is>
      </c>
    </row>
    <row r="16" ht="30" customHeight="1">
      <c r="A16" s="3" t="n">
        <v>15</v>
      </c>
      <c r="B16" s="3" t="inlineStr">
        <is>
          <t>TC-V015</t>
        </is>
      </c>
      <c r="C16" s="3" t="inlineStr">
        <is>
          <t>1차</t>
        </is>
      </c>
      <c r="D16" s="3" t="inlineStr">
        <is>
          <t>F-03</t>
        </is>
      </c>
      <c r="E16" s="3" t="inlineStr">
        <is>
          <t>/verify</t>
        </is>
      </c>
      <c r="F16" s="3" t="inlineStr">
        <is>
          <t>정상</t>
        </is>
      </c>
      <c r="G16" s="3" t="inlineStr">
        <is>
          <t>투자자 세션으로 /verify 진입</t>
        </is>
      </c>
      <c r="H16" s="3" t="inlineStr">
        <is>
          <t>투자자 계정 로그인</t>
        </is>
      </c>
      <c r="I16" s="3" t="inlineStr">
        <is>
          <t>1. /verify 이동  2. 렌더·콘솔·네트워크 확인</t>
        </is>
      </c>
      <c r="J16" s="3" t="inlineStr">
        <is>
          <t>화면이 오류 없이 렌더되고 콘솔·네트워크 오류가 없다</t>
        </is>
      </c>
      <c r="K16" s="3" t="inlineStr"/>
      <c r="L16" s="13" t="inlineStr">
        <is>
          <t>Pass</t>
        </is>
      </c>
      <c r="M16" s="3" t="inlineStr">
        <is>
          <t>Chromium 1440x900 · mobile 390x844 · tablet 768x1024</t>
        </is>
      </c>
      <c r="N16" s="3" t="inlineStr">
        <is>
          <t>2026-08-25</t>
        </is>
      </c>
      <c r="O16" s="3" t="inlineStr"/>
      <c r="P16" s="3" t="inlineStr">
        <is>
          <t>HTTP 200</t>
        </is>
      </c>
      <c r="Q16" s="3" t="inlineStr">
        <is>
          <t>2순위</t>
        </is>
      </c>
    </row>
    <row r="17" ht="30" customHeight="1">
      <c r="A17" s="3" t="n">
        <v>16</v>
      </c>
      <c r="B17" s="3" t="inlineStr">
        <is>
          <t>TC-V016</t>
        </is>
      </c>
      <c r="C17" s="3" t="inlineStr">
        <is>
          <t>1차</t>
        </is>
      </c>
      <c r="D17" s="3" t="inlineStr">
        <is>
          <t>F-03</t>
        </is>
      </c>
      <c r="E17" s="3" t="inlineStr">
        <is>
          <t>/verify/mobile-id</t>
        </is>
      </c>
      <c r="F17" s="3" t="inlineStr">
        <is>
          <t>정상</t>
        </is>
      </c>
      <c r="G17" s="3" t="inlineStr">
        <is>
          <t>투자자 세션으로 /verify/mobile-id 진입</t>
        </is>
      </c>
      <c r="H17" s="3" t="inlineStr">
        <is>
          <t>투자자 계정 로그인</t>
        </is>
      </c>
      <c r="I17" s="3" t="inlineStr">
        <is>
          <t>1. /verify/mobile-id 이동  2. 렌더·콘솔·네트워크 확인</t>
        </is>
      </c>
      <c r="J17" s="3" t="inlineStr">
        <is>
          <t>화면이 오류 없이 렌더되고 콘솔·네트워크 오류가 없다</t>
        </is>
      </c>
      <c r="K17" s="3" t="inlineStr"/>
      <c r="L17" s="13" t="inlineStr">
        <is>
          <t>Pass</t>
        </is>
      </c>
      <c r="M17" s="3" t="inlineStr">
        <is>
          <t>Chromium 1440x900 · mobile 390x844 · tablet 768x1024</t>
        </is>
      </c>
      <c r="N17" s="3" t="inlineStr">
        <is>
          <t>2026-08-25</t>
        </is>
      </c>
      <c r="O17" s="3" t="inlineStr"/>
      <c r="P17" s="3" t="inlineStr">
        <is>
          <t>HTTP 200</t>
        </is>
      </c>
      <c r="Q17" s="3" t="inlineStr">
        <is>
          <t>2순위</t>
        </is>
      </c>
    </row>
    <row r="18" ht="30" customHeight="1">
      <c r="A18" s="3" t="n">
        <v>17</v>
      </c>
      <c r="B18" s="3" t="inlineStr">
        <is>
          <t>TC-V017</t>
        </is>
      </c>
      <c r="C18" s="3" t="inlineStr">
        <is>
          <t>1차</t>
        </is>
      </c>
      <c r="D18" s="3" t="inlineStr">
        <is>
          <t>F-03</t>
        </is>
      </c>
      <c r="E18" s="3" t="inlineStr">
        <is>
          <t>/verify/account</t>
        </is>
      </c>
      <c r="F18" s="3" t="inlineStr">
        <is>
          <t>정상</t>
        </is>
      </c>
      <c r="G18" s="3" t="inlineStr">
        <is>
          <t>투자자 세션으로 /verify/account 진입</t>
        </is>
      </c>
      <c r="H18" s="3" t="inlineStr">
        <is>
          <t>투자자 계정 로그인</t>
        </is>
      </c>
      <c r="I18" s="3" t="inlineStr">
        <is>
          <t>1. /verify/account 이동  2. 렌더·콘솔·네트워크 확인</t>
        </is>
      </c>
      <c r="J18" s="3" t="inlineStr">
        <is>
          <t>화면이 오류 없이 렌더되고 콘솔·네트워크 오류가 없다</t>
        </is>
      </c>
      <c r="K18" s="3" t="inlineStr"/>
      <c r="L18" s="13" t="inlineStr">
        <is>
          <t>Pass</t>
        </is>
      </c>
      <c r="M18" s="3" t="inlineStr">
        <is>
          <t>Chromium 1440x900 · mobile 390x844 · tablet 768x1024</t>
        </is>
      </c>
      <c r="N18" s="3" t="inlineStr">
        <is>
          <t>2026-08-25</t>
        </is>
      </c>
      <c r="O18" s="3" t="inlineStr"/>
      <c r="P18" s="3" t="inlineStr">
        <is>
          <t>HTTP 200</t>
        </is>
      </c>
      <c r="Q18" s="3" t="inlineStr">
        <is>
          <t>2순위</t>
        </is>
      </c>
    </row>
    <row r="19" ht="30" customHeight="1">
      <c r="A19" s="3" t="n">
        <v>18</v>
      </c>
      <c r="B19" s="3" t="inlineStr">
        <is>
          <t>TC-V018</t>
        </is>
      </c>
      <c r="C19" s="3" t="inlineStr">
        <is>
          <t>1차</t>
        </is>
      </c>
      <c r="D19" s="3" t="inlineStr">
        <is>
          <t>F-03</t>
        </is>
      </c>
      <c r="E19" s="3" t="inlineStr">
        <is>
          <t>/verify/done</t>
        </is>
      </c>
      <c r="F19" s="3" t="inlineStr">
        <is>
          <t>정상</t>
        </is>
      </c>
      <c r="G19" s="3" t="inlineStr">
        <is>
          <t>투자자 세션으로 /verify/done 진입</t>
        </is>
      </c>
      <c r="H19" s="3" t="inlineStr">
        <is>
          <t>투자자 계정 로그인</t>
        </is>
      </c>
      <c r="I19" s="3" t="inlineStr">
        <is>
          <t>1. /verify/done 이동  2. 렌더·콘솔·네트워크 확인</t>
        </is>
      </c>
      <c r="J19" s="3" t="inlineStr">
        <is>
          <t>화면이 오류 없이 렌더되고 콘솔·네트워크 오류가 없다</t>
        </is>
      </c>
      <c r="K19" s="3" t="inlineStr"/>
      <c r="L19" s="13" t="inlineStr">
        <is>
          <t>Pass</t>
        </is>
      </c>
      <c r="M19" s="3" t="inlineStr">
        <is>
          <t>Chromium 1440x900 · mobile 390x844 · tablet 768x1024</t>
        </is>
      </c>
      <c r="N19" s="3" t="inlineStr">
        <is>
          <t>2026-08-25</t>
        </is>
      </c>
      <c r="O19" s="3" t="inlineStr"/>
      <c r="P19" s="3" t="inlineStr">
        <is>
          <t>HTTP 200</t>
        </is>
      </c>
      <c r="Q19" s="3" t="inlineStr">
        <is>
          <t>2순위</t>
        </is>
      </c>
    </row>
    <row r="20" ht="30" customHeight="1">
      <c r="A20" s="3" t="n">
        <v>19</v>
      </c>
      <c r="B20" s="3" t="inlineStr">
        <is>
          <t>TC-V019</t>
        </is>
      </c>
      <c r="C20" s="3" t="inlineStr">
        <is>
          <t>1차</t>
        </is>
      </c>
      <c r="D20" s="3" t="inlineStr">
        <is>
          <t>F-08</t>
        </is>
      </c>
      <c r="E20" s="3" t="inlineStr">
        <is>
          <t>/mypage</t>
        </is>
      </c>
      <c r="F20" s="3" t="inlineStr">
        <is>
          <t>정상</t>
        </is>
      </c>
      <c r="G20" s="3" t="inlineStr">
        <is>
          <t>투자자 세션으로 /mypage 진입</t>
        </is>
      </c>
      <c r="H20" s="3" t="inlineStr">
        <is>
          <t>투자자 계정 로그인</t>
        </is>
      </c>
      <c r="I20" s="3" t="inlineStr">
        <is>
          <t>1. /mypage 이동  2. 렌더·콘솔·네트워크 확인</t>
        </is>
      </c>
      <c r="J20" s="3" t="inlineStr">
        <is>
          <t>화면이 오류 없이 렌더되고 콘솔·네트워크 오류가 없다</t>
        </is>
      </c>
      <c r="K20" s="3" t="inlineStr"/>
      <c r="L20" s="13" t="inlineStr">
        <is>
          <t>Pass</t>
        </is>
      </c>
      <c r="M20" s="3" t="inlineStr">
        <is>
          <t>Chromium 1440x900 · mobile 390x844 · tablet 768x1024</t>
        </is>
      </c>
      <c r="N20" s="3" t="inlineStr">
        <is>
          <t>2026-08-25</t>
        </is>
      </c>
      <c r="O20" s="3" t="inlineStr"/>
      <c r="P20" s="3" t="inlineStr">
        <is>
          <t>HTTP 200</t>
        </is>
      </c>
      <c r="Q20" s="3" t="inlineStr">
        <is>
          <t>2순위</t>
        </is>
      </c>
    </row>
    <row r="21" ht="30" customHeight="1">
      <c r="A21" s="3" t="n">
        <v>20</v>
      </c>
      <c r="B21" s="3" t="inlineStr">
        <is>
          <t>TC-V020</t>
        </is>
      </c>
      <c r="C21" s="3" t="inlineStr">
        <is>
          <t>1차</t>
        </is>
      </c>
      <c r="D21" s="3" t="inlineStr">
        <is>
          <t>F-10</t>
        </is>
      </c>
      <c r="E21" s="3" t="inlineStr">
        <is>
          <t>/subscriptions</t>
        </is>
      </c>
      <c r="F21" s="3" t="inlineStr">
        <is>
          <t>정상</t>
        </is>
      </c>
      <c r="G21" s="3" t="inlineStr">
        <is>
          <t>투자자 세션으로 /subscriptions 진입</t>
        </is>
      </c>
      <c r="H21" s="3" t="inlineStr">
        <is>
          <t>투자자 계정 로그인</t>
        </is>
      </c>
      <c r="I21" s="3" t="inlineStr">
        <is>
          <t>1. /subscriptions 이동  2. 렌더·콘솔·네트워크 확인</t>
        </is>
      </c>
      <c r="J21" s="3" t="inlineStr">
        <is>
          <t>화면이 오류 없이 렌더되고 콘솔·네트워크 오류가 없다</t>
        </is>
      </c>
      <c r="K21" s="3" t="inlineStr"/>
      <c r="L21" s="14" t="inlineStr">
        <is>
          <t>Fail</t>
        </is>
      </c>
      <c r="M21" s="3" t="inlineStr">
        <is>
          <t>Chromium 1440x900 · mobile 390x844 · tablet 768x1024</t>
        </is>
      </c>
      <c r="N21" s="3" t="inlineStr">
        <is>
          <t>2026-08-25</t>
        </is>
      </c>
      <c r="O21" s="3" t="inlineStr">
        <is>
          <t>REQ-007</t>
        </is>
      </c>
      <c r="P21" s="3" t="inlineStr">
        <is>
          <t>HTTP 200 · 콘솔오류 1건 · 네트워크 404 /investor/payouts?_rsc=14v5l</t>
        </is>
      </c>
      <c r="Q21" s="3" t="inlineStr">
        <is>
          <t>2순위</t>
        </is>
      </c>
    </row>
    <row r="22" ht="30" customHeight="1">
      <c r="A22" s="3" t="n">
        <v>21</v>
      </c>
      <c r="B22" s="3" t="inlineStr">
        <is>
          <t>TC-V021</t>
        </is>
      </c>
      <c r="C22" s="3" t="inlineStr">
        <is>
          <t>1차</t>
        </is>
      </c>
      <c r="D22" s="3" t="inlineStr">
        <is>
          <t>F-10</t>
        </is>
      </c>
      <c r="E22" s="3" t="inlineStr">
        <is>
          <t>/subscriptions/change</t>
        </is>
      </c>
      <c r="F22" s="3" t="inlineStr">
        <is>
          <t>정상</t>
        </is>
      </c>
      <c r="G22" s="3" t="inlineStr">
        <is>
          <t>투자자 세션으로 /subscriptions/change 진입</t>
        </is>
      </c>
      <c r="H22" s="3" t="inlineStr">
        <is>
          <t>투자자 계정 로그인</t>
        </is>
      </c>
      <c r="I22" s="3" t="inlineStr">
        <is>
          <t>1. /subscriptions/change 이동  2. 렌더·콘솔·네트워크 확인</t>
        </is>
      </c>
      <c r="J22" s="3" t="inlineStr">
        <is>
          <t>화면이 오류 없이 렌더되고 콘솔·네트워크 오류가 없다</t>
        </is>
      </c>
      <c r="K22" s="3" t="inlineStr"/>
      <c r="L22" s="13" t="inlineStr">
        <is>
          <t>Pass</t>
        </is>
      </c>
      <c r="M22" s="3" t="inlineStr">
        <is>
          <t>Chromium 1440x900 · mobile 390x844 · tablet 768x1024</t>
        </is>
      </c>
      <c r="N22" s="3" t="inlineStr">
        <is>
          <t>2026-08-25</t>
        </is>
      </c>
      <c r="O22" s="3" t="inlineStr"/>
      <c r="P22" s="3" t="inlineStr">
        <is>
          <t>HTTP 200</t>
        </is>
      </c>
      <c r="Q22" s="3" t="inlineStr">
        <is>
          <t>2순위</t>
        </is>
      </c>
    </row>
    <row r="23" ht="30" customHeight="1">
      <c r="A23" s="3" t="n">
        <v>22</v>
      </c>
      <c r="B23" s="3" t="inlineStr">
        <is>
          <t>TC-V022</t>
        </is>
      </c>
      <c r="C23" s="3" t="inlineStr">
        <is>
          <t>1차</t>
        </is>
      </c>
      <c r="D23" s="3" t="inlineStr">
        <is>
          <t>F-14</t>
        </is>
      </c>
      <c r="E23" s="3" t="inlineStr">
        <is>
          <t>/admin</t>
        </is>
      </c>
      <c r="F23" s="3" t="inlineStr">
        <is>
          <t>예외</t>
        </is>
      </c>
      <c r="G23" s="3" t="inlineStr">
        <is>
          <t>투자자 세션으로 /admin 진입</t>
        </is>
      </c>
      <c r="H23" s="3" t="inlineStr">
        <is>
          <t>투자자 계정 로그인</t>
        </is>
      </c>
      <c r="I23" s="3" t="inlineStr">
        <is>
          <t>1. /admin 이동  2. 렌더·콘솔·네트워크 확인</t>
        </is>
      </c>
      <c r="J23" s="3" t="inlineStr">
        <is>
          <t>역할에 없는 화면 — 접근 차단</t>
        </is>
      </c>
      <c r="K23" s="3" t="inlineStr"/>
      <c r="L23" s="14" t="inlineStr">
        <is>
          <t>Fail</t>
        </is>
      </c>
      <c r="M23" s="3" t="inlineStr">
        <is>
          <t>Chromium 1440x900 · mobile 390x844 · tablet 768x1024</t>
        </is>
      </c>
      <c r="N23" s="3" t="inlineStr">
        <is>
          <t>2026-08-25</t>
        </is>
      </c>
      <c r="O23" s="3" t="inlineStr">
        <is>
          <t>REQ-004</t>
        </is>
      </c>
      <c r="P23" s="3" t="inlineStr">
        <is>
          <t>HTTP 200</t>
        </is>
      </c>
      <c r="Q23" s="3" t="inlineStr">
        <is>
          <t>1순위</t>
        </is>
      </c>
    </row>
    <row r="24" ht="30" customHeight="1">
      <c r="A24" s="3" t="n">
        <v>23</v>
      </c>
      <c r="B24" s="3" t="inlineStr">
        <is>
          <t>TC-V023</t>
        </is>
      </c>
      <c r="C24" s="3" t="inlineStr">
        <is>
          <t>1차</t>
        </is>
      </c>
      <c r="D24" s="3" t="inlineStr">
        <is>
          <t>F-16</t>
        </is>
      </c>
      <c r="E24" s="3" t="inlineStr">
        <is>
          <t>/admin/audit-logs</t>
        </is>
      </c>
      <c r="F24" s="3" t="inlineStr">
        <is>
          <t>예외</t>
        </is>
      </c>
      <c r="G24" s="3" t="inlineStr">
        <is>
          <t>투자자 세션으로 /admin/audit-logs 진입</t>
        </is>
      </c>
      <c r="H24" s="3" t="inlineStr">
        <is>
          <t>투자자 계정 로그인</t>
        </is>
      </c>
      <c r="I24" s="3" t="inlineStr">
        <is>
          <t>1. /admin/audit-logs 이동  2. 렌더·콘솔·네트워크 확인</t>
        </is>
      </c>
      <c r="J24" s="3" t="inlineStr">
        <is>
          <t>역할에 없는 화면 — 접근 차단</t>
        </is>
      </c>
      <c r="K24" s="3" t="inlineStr"/>
      <c r="L24" s="14" t="inlineStr">
        <is>
          <t>Fail</t>
        </is>
      </c>
      <c r="M24" s="3" t="inlineStr">
        <is>
          <t>Chromium 1440x900 · mobile 390x844 · tablet 768x1024</t>
        </is>
      </c>
      <c r="N24" s="3" t="inlineStr">
        <is>
          <t>2026-08-25</t>
        </is>
      </c>
      <c r="O24" s="3" t="inlineStr">
        <is>
          <t>REQ-004</t>
        </is>
      </c>
      <c r="P24" s="3" t="inlineStr">
        <is>
          <t>HTTP 200 · 콘솔오류 2건 · 네트워크 403 /api/audit-logs; 403 /api/audit-logs?format=csv&amp;_rsc=1lpe3</t>
        </is>
      </c>
      <c r="Q24" s="3" t="inlineStr">
        <is>
          <t>1순위</t>
        </is>
      </c>
    </row>
    <row r="25" ht="30" customHeight="1">
      <c r="A25" s="3" t="n">
        <v>24</v>
      </c>
      <c r="B25" s="3" t="inlineStr">
        <is>
          <t>TC-V024</t>
        </is>
      </c>
      <c r="C25" s="3" t="inlineStr">
        <is>
          <t>1차</t>
        </is>
      </c>
      <c r="D25" s="3" t="inlineStr">
        <is>
          <t>F-12</t>
        </is>
      </c>
      <c r="E25" s="3" t="inlineStr">
        <is>
          <t>/operator/milestones</t>
        </is>
      </c>
      <c r="F25" s="3" t="inlineStr">
        <is>
          <t>예외</t>
        </is>
      </c>
      <c r="G25" s="3" t="inlineStr">
        <is>
          <t>투자자 세션으로 /operator/milestones 진입</t>
        </is>
      </c>
      <c r="H25" s="3" t="inlineStr">
        <is>
          <t>투자자 계정 로그인</t>
        </is>
      </c>
      <c r="I25" s="3" t="inlineStr">
        <is>
          <t>1. /operator/milestones 이동  2. 렌더·콘솔·네트워크 확인</t>
        </is>
      </c>
      <c r="J25" s="3" t="inlineStr">
        <is>
          <t>역할에 없는 화면 — 접근 차단</t>
        </is>
      </c>
      <c r="K25" s="3" t="inlineStr"/>
      <c r="L25" s="14" t="inlineStr">
        <is>
          <t>Fail</t>
        </is>
      </c>
      <c r="M25" s="3" t="inlineStr">
        <is>
          <t>Chromium 1440x900 · mobile 390x844 · tablet 768x1024</t>
        </is>
      </c>
      <c r="N25" s="3" t="inlineStr">
        <is>
          <t>2026-08-25</t>
        </is>
      </c>
      <c r="O25" s="3" t="inlineStr">
        <is>
          <t>REQ-004</t>
        </is>
      </c>
      <c r="P25" s="3" t="inlineStr">
        <is>
          <t>HTTP 200 · 콘솔오류 1건 · 네트워크 403 /api/appeals?milestoneId=cmt6qy0kz04n8esudho8mb3l8</t>
        </is>
      </c>
      <c r="Q25" s="3" t="inlineStr">
        <is>
          <t>1순위</t>
        </is>
      </c>
    </row>
    <row r="26" ht="30" customHeight="1">
      <c r="A26" s="3" t="n">
        <v>25</v>
      </c>
      <c r="B26" s="3" t="inlineStr">
        <is>
          <t>TC-V025</t>
        </is>
      </c>
      <c r="C26" s="3" t="inlineStr">
        <is>
          <t>1차</t>
        </is>
      </c>
      <c r="D26" s="3" t="inlineStr">
        <is>
          <t>F-14</t>
        </is>
      </c>
      <c r="E26" s="3" t="inlineStr">
        <is>
          <t>/admin/ledger</t>
        </is>
      </c>
      <c r="F26" s="3" t="inlineStr">
        <is>
          <t>예외</t>
        </is>
      </c>
      <c r="G26" s="3" t="inlineStr">
        <is>
          <t>투자자 세션으로 /admin/ledger 진입</t>
        </is>
      </c>
      <c r="H26" s="3" t="inlineStr">
        <is>
          <t>투자자 계정 로그인</t>
        </is>
      </c>
      <c r="I26" s="3" t="inlineStr">
        <is>
          <t>1. /admin/ledger 이동  2. 렌더·콘솔·네트워크 확인</t>
        </is>
      </c>
      <c r="J26" s="3" t="inlineStr">
        <is>
          <t>역할에 없는 화면 — 접근 차단</t>
        </is>
      </c>
      <c r="K26" s="3" t="inlineStr"/>
      <c r="L26" s="14" t="inlineStr">
        <is>
          <t>Fail</t>
        </is>
      </c>
      <c r="M26" s="3" t="inlineStr">
        <is>
          <t>Chromium 1440x900 · mobile 390x844 · tablet 768x1024</t>
        </is>
      </c>
      <c r="N26" s="3" t="inlineStr">
        <is>
          <t>2026-08-25</t>
        </is>
      </c>
      <c r="O26" s="3" t="inlineStr">
        <is>
          <t>REQ-004</t>
        </is>
      </c>
      <c r="P26" s="3" t="inlineStr">
        <is>
          <t>HTTP 200 · 콘솔오류 2건 · 네트워크 403 /api/admin/projects/cmt6qxvrf000pesud96j1e56u/records?period=2026-08; 403 /api/sales?projectId=cmt6qxvrf000pesud96j1e56u&amp;days=90</t>
        </is>
      </c>
      <c r="Q26" s="3" t="inlineStr">
        <is>
          <t>1순위</t>
        </is>
      </c>
    </row>
    <row r="27" ht="30" customHeight="1">
      <c r="A27" s="3" t="n">
        <v>26</v>
      </c>
      <c r="B27" s="3" t="inlineStr">
        <is>
          <t>TC-V026</t>
        </is>
      </c>
      <c r="C27" s="3" t="inlineStr">
        <is>
          <t>1차</t>
        </is>
      </c>
      <c r="D27" s="3" t="inlineStr">
        <is>
          <t>F-03</t>
        </is>
      </c>
      <c r="E27" s="3" t="inlineStr">
        <is>
          <t>/verify</t>
        </is>
      </c>
      <c r="F27" s="3" t="inlineStr">
        <is>
          <t>정상</t>
        </is>
      </c>
      <c r="G27" s="3" t="inlineStr">
        <is>
          <t>시연 투자자 세션으로 /verify 진입</t>
        </is>
      </c>
      <c r="H27" s="3" t="inlineStr">
        <is>
          <t>시연 투자자 계정 로그인</t>
        </is>
      </c>
      <c r="I27" s="3" t="inlineStr">
        <is>
          <t>1. /verify 이동  2. 렌더·콘솔·네트워크 확인</t>
        </is>
      </c>
      <c r="J27" s="3" t="inlineStr">
        <is>
          <t>화면이 오류 없이 렌더되고 콘솔·네트워크 오류가 없다</t>
        </is>
      </c>
      <c r="K27" s="3" t="inlineStr"/>
      <c r="L27" s="13" t="inlineStr">
        <is>
          <t>Pass</t>
        </is>
      </c>
      <c r="M27" s="3" t="inlineStr">
        <is>
          <t>Chromium 1440x900 · mobile 390x844 · tablet 768x1024</t>
        </is>
      </c>
      <c r="N27" s="3" t="inlineStr">
        <is>
          <t>2026-08-25</t>
        </is>
      </c>
      <c r="O27" s="3" t="inlineStr"/>
      <c r="P27" s="3" t="inlineStr">
        <is>
          <t>HTTP 200</t>
        </is>
      </c>
      <c r="Q27" s="3" t="inlineStr">
        <is>
          <t>2순위</t>
        </is>
      </c>
    </row>
    <row r="28" ht="30" customHeight="1">
      <c r="A28" s="3" t="n">
        <v>27</v>
      </c>
      <c r="B28" s="3" t="inlineStr">
        <is>
          <t>TC-V027</t>
        </is>
      </c>
      <c r="C28" s="3" t="inlineStr">
        <is>
          <t>1차</t>
        </is>
      </c>
      <c r="D28" s="3" t="inlineStr">
        <is>
          <t>F-03</t>
        </is>
      </c>
      <c r="E28" s="3" t="inlineStr">
        <is>
          <t>/verify/mobile-id</t>
        </is>
      </c>
      <c r="F28" s="3" t="inlineStr">
        <is>
          <t>정상</t>
        </is>
      </c>
      <c r="G28" s="3" t="inlineStr">
        <is>
          <t>시연 투자자 세션으로 /verify/mobile-id 진입</t>
        </is>
      </c>
      <c r="H28" s="3" t="inlineStr">
        <is>
          <t>시연 투자자 계정 로그인</t>
        </is>
      </c>
      <c r="I28" s="3" t="inlineStr">
        <is>
          <t>1. /verify/mobile-id 이동  2. 렌더·콘솔·네트워크 확인</t>
        </is>
      </c>
      <c r="J28" s="3" t="inlineStr">
        <is>
          <t>화면이 오류 없이 렌더되고 콘솔·네트워크 오류가 없다</t>
        </is>
      </c>
      <c r="K28" s="3" t="inlineStr"/>
      <c r="L28" s="13" t="inlineStr">
        <is>
          <t>Pass</t>
        </is>
      </c>
      <c r="M28" s="3" t="inlineStr">
        <is>
          <t>Chromium 1440x900 · mobile 390x844 · tablet 768x1024</t>
        </is>
      </c>
      <c r="N28" s="3" t="inlineStr">
        <is>
          <t>2026-08-25</t>
        </is>
      </c>
      <c r="O28" s="3" t="inlineStr"/>
      <c r="P28" s="3" t="inlineStr">
        <is>
          <t>HTTP 200</t>
        </is>
      </c>
      <c r="Q28" s="3" t="inlineStr">
        <is>
          <t>2순위</t>
        </is>
      </c>
    </row>
    <row r="29" ht="30" customHeight="1">
      <c r="A29" s="3" t="n">
        <v>28</v>
      </c>
      <c r="B29" s="3" t="inlineStr">
        <is>
          <t>TC-V028</t>
        </is>
      </c>
      <c r="C29" s="3" t="inlineStr">
        <is>
          <t>1차</t>
        </is>
      </c>
      <c r="D29" s="3" t="inlineStr">
        <is>
          <t>F-08</t>
        </is>
      </c>
      <c r="E29" s="3" t="inlineStr">
        <is>
          <t>/investor</t>
        </is>
      </c>
      <c r="F29" s="3" t="inlineStr">
        <is>
          <t>정상</t>
        </is>
      </c>
      <c r="G29" s="3" t="inlineStr">
        <is>
          <t>시연 투자자 세션으로 /investor 진입</t>
        </is>
      </c>
      <c r="H29" s="3" t="inlineStr">
        <is>
          <t>시연 투자자 계정 로그인</t>
        </is>
      </c>
      <c r="I29" s="3" t="inlineStr">
        <is>
          <t>1. /investor 이동  2. 렌더·콘솔·네트워크 확인</t>
        </is>
      </c>
      <c r="J29" s="3" t="inlineStr">
        <is>
          <t>화면이 오류 없이 렌더되고 콘솔·네트워크 오류가 없다</t>
        </is>
      </c>
      <c r="K29" s="3" t="inlineStr"/>
      <c r="L29" s="13" t="inlineStr">
        <is>
          <t>Pass</t>
        </is>
      </c>
      <c r="M29" s="3" t="inlineStr">
        <is>
          <t>Chromium 1440x900 · mobile 390x844 · tablet 768x1024</t>
        </is>
      </c>
      <c r="N29" s="3" t="inlineStr">
        <is>
          <t>2026-08-25</t>
        </is>
      </c>
      <c r="O29" s="3" t="inlineStr"/>
      <c r="P29" s="3" t="inlineStr">
        <is>
          <t>HTTP 200</t>
        </is>
      </c>
      <c r="Q29" s="3" t="inlineStr">
        <is>
          <t>2순위</t>
        </is>
      </c>
    </row>
    <row r="30" ht="30" customHeight="1">
      <c r="A30" s="3" t="n">
        <v>29</v>
      </c>
      <c r="B30" s="3" t="inlineStr">
        <is>
          <t>TC-V029</t>
        </is>
      </c>
      <c r="C30" s="3" t="inlineStr">
        <is>
          <t>1차</t>
        </is>
      </c>
      <c r="D30" s="3" t="inlineStr">
        <is>
          <t>F-11</t>
        </is>
      </c>
      <c r="E30" s="3" t="inlineStr">
        <is>
          <t>/operator</t>
        </is>
      </c>
      <c r="F30" s="3" t="inlineStr">
        <is>
          <t>정상</t>
        </is>
      </c>
      <c r="G30" s="3" t="inlineStr">
        <is>
          <t>운영자 세션으로 /operator 진입</t>
        </is>
      </c>
      <c r="H30" s="3" t="inlineStr">
        <is>
          <t>운영자 계정 로그인</t>
        </is>
      </c>
      <c r="I30" s="3" t="inlineStr">
        <is>
          <t>1. /operator 이동  2. 렌더·콘솔·네트워크 확인</t>
        </is>
      </c>
      <c r="J30" s="3" t="inlineStr">
        <is>
          <t>화면이 오류 없이 렌더되고 콘솔·네트워크 오류가 없다</t>
        </is>
      </c>
      <c r="K30" s="3" t="inlineStr"/>
      <c r="L30" s="13" t="inlineStr">
        <is>
          <t>Pass</t>
        </is>
      </c>
      <c r="M30" s="3" t="inlineStr">
        <is>
          <t>Chromium 1440x900 · mobile 390x844 · tablet 768x1024</t>
        </is>
      </c>
      <c r="N30" s="3" t="inlineStr">
        <is>
          <t>2026-08-25</t>
        </is>
      </c>
      <c r="O30" s="3" t="inlineStr"/>
      <c r="P30" s="3" t="inlineStr">
        <is>
          <t>HTTP 200</t>
        </is>
      </c>
      <c r="Q30" s="3" t="inlineStr">
        <is>
          <t>2순위</t>
        </is>
      </c>
    </row>
    <row r="31" ht="30" customHeight="1">
      <c r="A31" s="3" t="n">
        <v>30</v>
      </c>
      <c r="B31" s="3" t="inlineStr">
        <is>
          <t>TC-V030</t>
        </is>
      </c>
      <c r="C31" s="3" t="inlineStr">
        <is>
          <t>1차</t>
        </is>
      </c>
      <c r="D31" s="3" t="inlineStr">
        <is>
          <t>F-11</t>
        </is>
      </c>
      <c r="E31" s="3" t="inlineStr">
        <is>
          <t>/operator/spaces</t>
        </is>
      </c>
      <c r="F31" s="3" t="inlineStr">
        <is>
          <t>정상</t>
        </is>
      </c>
      <c r="G31" s="3" t="inlineStr">
        <is>
          <t>운영자 세션으로 /operator/spaces 진입</t>
        </is>
      </c>
      <c r="H31" s="3" t="inlineStr">
        <is>
          <t>운영자 계정 로그인</t>
        </is>
      </c>
      <c r="I31" s="3" t="inlineStr">
        <is>
          <t>1. /operator/spaces 이동  2. 렌더·콘솔·네트워크 확인</t>
        </is>
      </c>
      <c r="J31" s="3" t="inlineStr">
        <is>
          <t>화면이 오류 없이 렌더되고 콘솔·네트워크 오류가 없다</t>
        </is>
      </c>
      <c r="K31" s="3" t="inlineStr"/>
      <c r="L31" s="13" t="inlineStr">
        <is>
          <t>Pass</t>
        </is>
      </c>
      <c r="M31" s="3" t="inlineStr">
        <is>
          <t>Chromium 1440x900 · mobile 390x844 · tablet 768x1024</t>
        </is>
      </c>
      <c r="N31" s="3" t="inlineStr">
        <is>
          <t>2026-08-25</t>
        </is>
      </c>
      <c r="O31" s="3" t="inlineStr"/>
      <c r="P31" s="3" t="inlineStr">
        <is>
          <t>HTTP 200</t>
        </is>
      </c>
      <c r="Q31" s="3" t="inlineStr">
        <is>
          <t>2순위</t>
        </is>
      </c>
    </row>
    <row r="32" ht="30" customHeight="1">
      <c r="A32" s="3" t="n">
        <v>31</v>
      </c>
      <c r="B32" s="3" t="inlineStr">
        <is>
          <t>TC-V031</t>
        </is>
      </c>
      <c r="C32" s="3" t="inlineStr">
        <is>
          <t>1차</t>
        </is>
      </c>
      <c r="D32" s="3" t="inlineStr">
        <is>
          <t>F-12</t>
        </is>
      </c>
      <c r="E32" s="3" t="inlineStr">
        <is>
          <t>/operator/milestones</t>
        </is>
      </c>
      <c r="F32" s="3" t="inlineStr">
        <is>
          <t>정상</t>
        </is>
      </c>
      <c r="G32" s="3" t="inlineStr">
        <is>
          <t>운영자 세션으로 /operator/milestones 진입</t>
        </is>
      </c>
      <c r="H32" s="3" t="inlineStr">
        <is>
          <t>운영자 계정 로그인</t>
        </is>
      </c>
      <c r="I32" s="3" t="inlineStr">
        <is>
          <t>1. /operator/milestones 이동  2. 렌더·콘솔·네트워크 확인</t>
        </is>
      </c>
      <c r="J32" s="3" t="inlineStr">
        <is>
          <t>화면이 오류 없이 렌더되고 콘솔·네트워크 오류가 없다</t>
        </is>
      </c>
      <c r="K32" s="3" t="inlineStr"/>
      <c r="L32" s="13" t="inlineStr">
        <is>
          <t>Pass</t>
        </is>
      </c>
      <c r="M32" s="3" t="inlineStr">
        <is>
          <t>Chromium 1440x900 · mobile 390x844 · tablet 768x1024</t>
        </is>
      </c>
      <c r="N32" s="3" t="inlineStr">
        <is>
          <t>2026-08-25</t>
        </is>
      </c>
      <c r="O32" s="3" t="inlineStr"/>
      <c r="P32" s="3" t="inlineStr">
        <is>
          <t>HTTP 200</t>
        </is>
      </c>
      <c r="Q32" s="3" t="inlineStr">
        <is>
          <t>2순위</t>
        </is>
      </c>
    </row>
    <row r="33" ht="30" customHeight="1">
      <c r="A33" s="3" t="n">
        <v>32</v>
      </c>
      <c r="B33" s="3" t="inlineStr">
        <is>
          <t>TC-V032</t>
        </is>
      </c>
      <c r="C33" s="3" t="inlineStr">
        <is>
          <t>1차</t>
        </is>
      </c>
      <c r="D33" s="3" t="inlineStr">
        <is>
          <t>F-11</t>
        </is>
      </c>
      <c r="E33" s="3" t="inlineStr">
        <is>
          <t>/operator/settlements</t>
        </is>
      </c>
      <c r="F33" s="3" t="inlineStr">
        <is>
          <t>정상</t>
        </is>
      </c>
      <c r="G33" s="3" t="inlineStr">
        <is>
          <t>운영자 세션으로 /operator/settlements 진입</t>
        </is>
      </c>
      <c r="H33" s="3" t="inlineStr">
        <is>
          <t>운영자 계정 로그인</t>
        </is>
      </c>
      <c r="I33" s="3" t="inlineStr">
        <is>
          <t>1. /operator/settlements 이동  2. 렌더·콘솔·네트워크 확인</t>
        </is>
      </c>
      <c r="J33" s="3" t="inlineStr">
        <is>
          <t>화면이 오류 없이 렌더되고 콘솔·네트워크 오류가 없다</t>
        </is>
      </c>
      <c r="K33" s="3" t="inlineStr"/>
      <c r="L33" s="13" t="inlineStr">
        <is>
          <t>Pass</t>
        </is>
      </c>
      <c r="M33" s="3" t="inlineStr">
        <is>
          <t>Chromium 1440x900 · mobile 390x844 · tablet 768x1024</t>
        </is>
      </c>
      <c r="N33" s="3" t="inlineStr">
        <is>
          <t>2026-08-25</t>
        </is>
      </c>
      <c r="O33" s="3" t="inlineStr"/>
      <c r="P33" s="3" t="inlineStr">
        <is>
          <t>HTTP 200</t>
        </is>
      </c>
      <c r="Q33" s="3" t="inlineStr">
        <is>
          <t>2순위</t>
        </is>
      </c>
    </row>
    <row r="34" ht="30" customHeight="1">
      <c r="A34" s="3" t="n">
        <v>33</v>
      </c>
      <c r="B34" s="3" t="inlineStr">
        <is>
          <t>TC-V033</t>
        </is>
      </c>
      <c r="C34" s="3" t="inlineStr">
        <is>
          <t>1차</t>
        </is>
      </c>
      <c r="D34" s="3" t="inlineStr">
        <is>
          <t>F-11</t>
        </is>
      </c>
      <c r="E34" s="3" t="inlineStr">
        <is>
          <t>/operator/certificate</t>
        </is>
      </c>
      <c r="F34" s="3" t="inlineStr">
        <is>
          <t>정상</t>
        </is>
      </c>
      <c r="G34" s="3" t="inlineStr">
        <is>
          <t>운영자 세션으로 /operator/certificate 진입</t>
        </is>
      </c>
      <c r="H34" s="3" t="inlineStr">
        <is>
          <t>운영자 계정 로그인</t>
        </is>
      </c>
      <c r="I34" s="3" t="inlineStr">
        <is>
          <t>1. /operator/certificate 이동  2. 렌더·콘솔·네트워크 확인</t>
        </is>
      </c>
      <c r="J34" s="3" t="inlineStr">
        <is>
          <t>화면이 오류 없이 렌더되고 콘솔·네트워크 오류가 없다</t>
        </is>
      </c>
      <c r="K34" s="3" t="inlineStr"/>
      <c r="L34" s="13" t="inlineStr">
        <is>
          <t>Pass</t>
        </is>
      </c>
      <c r="M34" s="3" t="inlineStr">
        <is>
          <t>Chromium 1440x900 · mobile 390x844 · tablet 768x1024</t>
        </is>
      </c>
      <c r="N34" s="3" t="inlineStr">
        <is>
          <t>2026-08-25</t>
        </is>
      </c>
      <c r="O34" s="3" t="inlineStr"/>
      <c r="P34" s="3" t="inlineStr">
        <is>
          <t>HTTP 200</t>
        </is>
      </c>
      <c r="Q34" s="3" t="inlineStr">
        <is>
          <t>2순위</t>
        </is>
      </c>
    </row>
    <row r="35" ht="30" customHeight="1">
      <c r="A35" s="3" t="n">
        <v>34</v>
      </c>
      <c r="B35" s="3" t="inlineStr">
        <is>
          <t>TC-V034</t>
        </is>
      </c>
      <c r="C35" s="3" t="inlineStr">
        <is>
          <t>1차</t>
        </is>
      </c>
      <c r="D35" s="3" t="inlineStr">
        <is>
          <t>F-11</t>
        </is>
      </c>
      <c r="E35" s="3" t="inlineStr">
        <is>
          <t>/operator/apply</t>
        </is>
      </c>
      <c r="F35" s="3" t="inlineStr">
        <is>
          <t>정상</t>
        </is>
      </c>
      <c r="G35" s="3" t="inlineStr">
        <is>
          <t>운영자 세션으로 /operator/apply 진입</t>
        </is>
      </c>
      <c r="H35" s="3" t="inlineStr">
        <is>
          <t>운영자 계정 로그인</t>
        </is>
      </c>
      <c r="I35" s="3" t="inlineStr">
        <is>
          <t>1. /operator/apply 이동  2. 렌더·콘솔·네트워크 확인</t>
        </is>
      </c>
      <c r="J35" s="3" t="inlineStr">
        <is>
          <t>화면이 오류 없이 렌더되고 콘솔·네트워크 오류가 없다</t>
        </is>
      </c>
      <c r="K35" s="3" t="inlineStr"/>
      <c r="L35" s="13" t="inlineStr">
        <is>
          <t>Pass</t>
        </is>
      </c>
      <c r="M35" s="3" t="inlineStr">
        <is>
          <t>Chromium 1440x900 · mobile 390x844 · tablet 768x1024</t>
        </is>
      </c>
      <c r="N35" s="3" t="inlineStr">
        <is>
          <t>2026-08-25</t>
        </is>
      </c>
      <c r="O35" s="3" t="inlineStr"/>
      <c r="P35" s="3" t="inlineStr">
        <is>
          <t>HTTP 200</t>
        </is>
      </c>
      <c r="Q35" s="3" t="inlineStr">
        <is>
          <t>2순위</t>
        </is>
      </c>
    </row>
    <row r="36" ht="30" customHeight="1">
      <c r="A36" s="3" t="n">
        <v>35</v>
      </c>
      <c r="B36" s="3" t="inlineStr">
        <is>
          <t>TC-V035</t>
        </is>
      </c>
      <c r="C36" s="3" t="inlineStr">
        <is>
          <t>1차</t>
        </is>
      </c>
      <c r="D36" s="3" t="inlineStr">
        <is>
          <t>F-11</t>
        </is>
      </c>
      <c r="E36" s="3" t="inlineStr">
        <is>
          <t>/operator/apply/visit</t>
        </is>
      </c>
      <c r="F36" s="3" t="inlineStr">
        <is>
          <t>정상</t>
        </is>
      </c>
      <c r="G36" s="3" t="inlineStr">
        <is>
          <t>운영자 세션으로 /operator/apply/visit 진입</t>
        </is>
      </c>
      <c r="H36" s="3" t="inlineStr">
        <is>
          <t>운영자 계정 로그인</t>
        </is>
      </c>
      <c r="I36" s="3" t="inlineStr">
        <is>
          <t>1. /operator/apply/visit 이동  2. 렌더·콘솔·네트워크 확인</t>
        </is>
      </c>
      <c r="J36" s="3" t="inlineStr">
        <is>
          <t>화면이 오류 없이 렌더되고 콘솔·네트워크 오류가 없다</t>
        </is>
      </c>
      <c r="K36" s="3" t="inlineStr"/>
      <c r="L36" s="13" t="inlineStr">
        <is>
          <t>Pass</t>
        </is>
      </c>
      <c r="M36" s="3" t="inlineStr">
        <is>
          <t>Chromium 1440x900 · mobile 390x844 · tablet 768x1024</t>
        </is>
      </c>
      <c r="N36" s="3" t="inlineStr">
        <is>
          <t>2026-08-25</t>
        </is>
      </c>
      <c r="O36" s="3" t="inlineStr"/>
      <c r="P36" s="3" t="inlineStr">
        <is>
          <t>HTTP 200</t>
        </is>
      </c>
      <c r="Q36" s="3" t="inlineStr">
        <is>
          <t>2순위</t>
        </is>
      </c>
    </row>
    <row r="37" ht="30" customHeight="1">
      <c r="A37" s="3" t="n">
        <v>36</v>
      </c>
      <c r="B37" s="3" t="inlineStr">
        <is>
          <t>TC-V036</t>
        </is>
      </c>
      <c r="C37" s="3" t="inlineStr">
        <is>
          <t>1차</t>
        </is>
      </c>
      <c r="D37" s="3" t="inlineStr">
        <is>
          <t>F-11</t>
        </is>
      </c>
      <c r="E37" s="3" t="inlineStr">
        <is>
          <t>/operator/apply/education</t>
        </is>
      </c>
      <c r="F37" s="3" t="inlineStr">
        <is>
          <t>정상</t>
        </is>
      </c>
      <c r="G37" s="3" t="inlineStr">
        <is>
          <t>운영자 세션으로 /operator/apply/education 진입</t>
        </is>
      </c>
      <c r="H37" s="3" t="inlineStr">
        <is>
          <t>운영자 계정 로그인</t>
        </is>
      </c>
      <c r="I37" s="3" t="inlineStr">
        <is>
          <t>1. /operator/apply/education 이동  2. 렌더·콘솔·네트워크 확인</t>
        </is>
      </c>
      <c r="J37" s="3" t="inlineStr">
        <is>
          <t>화면이 오류 없이 렌더되고 콘솔·네트워크 오류가 없다</t>
        </is>
      </c>
      <c r="K37" s="3" t="inlineStr"/>
      <c r="L37" s="13" t="inlineStr">
        <is>
          <t>Pass</t>
        </is>
      </c>
      <c r="M37" s="3" t="inlineStr">
        <is>
          <t>Chromium 1440x900 · mobile 390x844 · tablet 768x1024</t>
        </is>
      </c>
      <c r="N37" s="3" t="inlineStr">
        <is>
          <t>2026-08-25</t>
        </is>
      </c>
      <c r="O37" s="3" t="inlineStr"/>
      <c r="P37" s="3" t="inlineStr">
        <is>
          <t>HTTP 200</t>
        </is>
      </c>
      <c r="Q37" s="3" t="inlineStr">
        <is>
          <t>2순위</t>
        </is>
      </c>
    </row>
    <row r="38" ht="30" customHeight="1">
      <c r="A38" s="3" t="n">
        <v>37</v>
      </c>
      <c r="B38" s="3" t="inlineStr">
        <is>
          <t>TC-V037</t>
        </is>
      </c>
      <c r="C38" s="3" t="inlineStr">
        <is>
          <t>1차</t>
        </is>
      </c>
      <c r="D38" s="3" t="inlineStr">
        <is>
          <t>F-11</t>
        </is>
      </c>
      <c r="E38" s="3" t="inlineStr">
        <is>
          <t>/operator/apply/contract</t>
        </is>
      </c>
      <c r="F38" s="3" t="inlineStr">
        <is>
          <t>정상</t>
        </is>
      </c>
      <c r="G38" s="3" t="inlineStr">
        <is>
          <t>운영자 세션으로 /operator/apply/contract 진입</t>
        </is>
      </c>
      <c r="H38" s="3" t="inlineStr">
        <is>
          <t>운영자 계정 로그인</t>
        </is>
      </c>
      <c r="I38" s="3" t="inlineStr">
        <is>
          <t>1. /operator/apply/contract 이동  2. 렌더·콘솔·네트워크 확인</t>
        </is>
      </c>
      <c r="J38" s="3" t="inlineStr">
        <is>
          <t>화면이 오류 없이 렌더되고 콘솔·네트워크 오류가 없다</t>
        </is>
      </c>
      <c r="K38" s="3" t="inlineStr"/>
      <c r="L38" s="13" t="inlineStr">
        <is>
          <t>Pass</t>
        </is>
      </c>
      <c r="M38" s="3" t="inlineStr">
        <is>
          <t>Chromium 1440x900 · mobile 390x844 · tablet 768x1024</t>
        </is>
      </c>
      <c r="N38" s="3" t="inlineStr">
        <is>
          <t>2026-08-25</t>
        </is>
      </c>
      <c r="O38" s="3" t="inlineStr"/>
      <c r="P38" s="3" t="inlineStr">
        <is>
          <t>HTTP 200</t>
        </is>
      </c>
      <c r="Q38" s="3" t="inlineStr">
        <is>
          <t>2순위</t>
        </is>
      </c>
    </row>
    <row r="39" ht="30" customHeight="1">
      <c r="A39" s="3" t="n">
        <v>38</v>
      </c>
      <c r="B39" s="3" t="inlineStr">
        <is>
          <t>TC-V038</t>
        </is>
      </c>
      <c r="C39" s="3" t="inlineStr">
        <is>
          <t>1차</t>
        </is>
      </c>
      <c r="D39" s="3" t="inlineStr">
        <is>
          <t>F-11</t>
        </is>
      </c>
      <c r="E39" s="3" t="inlineStr">
        <is>
          <t>/operator/apply/confirm</t>
        </is>
      </c>
      <c r="F39" s="3" t="inlineStr">
        <is>
          <t>정상</t>
        </is>
      </c>
      <c r="G39" s="3" t="inlineStr">
        <is>
          <t>운영자 세션으로 /operator/apply/confirm 진입</t>
        </is>
      </c>
      <c r="H39" s="3" t="inlineStr">
        <is>
          <t>운영자 계정 로그인</t>
        </is>
      </c>
      <c r="I39" s="3" t="inlineStr">
        <is>
          <t>1. /operator/apply/confirm 이동  2. 렌더·콘솔·네트워크 확인</t>
        </is>
      </c>
      <c r="J39" s="3" t="inlineStr">
        <is>
          <t>화면이 오류 없이 렌더되고 콘솔·네트워크 오류가 없다</t>
        </is>
      </c>
      <c r="K39" s="3" t="inlineStr"/>
      <c r="L39" s="13" t="inlineStr">
        <is>
          <t>Pass</t>
        </is>
      </c>
      <c r="M39" s="3" t="inlineStr">
        <is>
          <t>Chromium 1440x900 · mobile 390x844 · tablet 768x1024</t>
        </is>
      </c>
      <c r="N39" s="3" t="inlineStr">
        <is>
          <t>2026-08-25</t>
        </is>
      </c>
      <c r="O39" s="3" t="inlineStr"/>
      <c r="P39" s="3" t="inlineStr">
        <is>
          <t>HTTP 200</t>
        </is>
      </c>
      <c r="Q39" s="3" t="inlineStr">
        <is>
          <t>2순위</t>
        </is>
      </c>
    </row>
    <row r="40" ht="30" customHeight="1">
      <c r="A40" s="3" t="n">
        <v>39</v>
      </c>
      <c r="B40" s="3" t="inlineStr">
        <is>
          <t>TC-V039</t>
        </is>
      </c>
      <c r="C40" s="3" t="inlineStr">
        <is>
          <t>1차</t>
        </is>
      </c>
      <c r="D40" s="3" t="inlineStr">
        <is>
          <t>F-14</t>
        </is>
      </c>
      <c r="E40" s="3" t="inlineStr">
        <is>
          <t>/landlord</t>
        </is>
      </c>
      <c r="F40" s="3" t="inlineStr">
        <is>
          <t>정상</t>
        </is>
      </c>
      <c r="G40" s="3" t="inlineStr">
        <is>
          <t>임대인 세션으로 /landlord 진입</t>
        </is>
      </c>
      <c r="H40" s="3" t="inlineStr">
        <is>
          <t>임대인 계정 로그인</t>
        </is>
      </c>
      <c r="I40" s="3" t="inlineStr">
        <is>
          <t>1. /landlord 이동  2. 렌더·콘솔·네트워크 확인</t>
        </is>
      </c>
      <c r="J40" s="3" t="inlineStr">
        <is>
          <t>화면이 오류 없이 렌더되고 콘솔·네트워크 오류가 없다</t>
        </is>
      </c>
      <c r="K40" s="3" t="inlineStr"/>
      <c r="L40" s="13" t="inlineStr">
        <is>
          <t>Pass</t>
        </is>
      </c>
      <c r="M40" s="3" t="inlineStr">
        <is>
          <t>Chromium 1440x900 · mobile 390x844 · tablet 768x1024</t>
        </is>
      </c>
      <c r="N40" s="3" t="inlineStr">
        <is>
          <t>2026-08-25</t>
        </is>
      </c>
      <c r="O40" s="3" t="inlineStr"/>
      <c r="P40" s="3" t="inlineStr">
        <is>
          <t>HTTP 200</t>
        </is>
      </c>
      <c r="Q40" s="3" t="inlineStr">
        <is>
          <t>2순위</t>
        </is>
      </c>
    </row>
    <row r="41" ht="30" customHeight="1">
      <c r="A41" s="3" t="n">
        <v>40</v>
      </c>
      <c r="B41" s="3" t="inlineStr">
        <is>
          <t>TC-V040</t>
        </is>
      </c>
      <c r="C41" s="3" t="inlineStr">
        <is>
          <t>1차</t>
        </is>
      </c>
      <c r="D41" s="3" t="inlineStr">
        <is>
          <t>F-14</t>
        </is>
      </c>
      <c r="E41" s="3" t="inlineStr">
        <is>
          <t>/admin</t>
        </is>
      </c>
      <c r="F41" s="3" t="inlineStr">
        <is>
          <t>정상</t>
        </is>
      </c>
      <c r="G41" s="3" t="inlineStr">
        <is>
          <t>관리자 세션으로 /admin 진입</t>
        </is>
      </c>
      <c r="H41" s="3" t="inlineStr">
        <is>
          <t>관리자 계정 로그인</t>
        </is>
      </c>
      <c r="I41" s="3" t="inlineStr">
        <is>
          <t>1. /admin 이동  2. 렌더·콘솔·네트워크 확인</t>
        </is>
      </c>
      <c r="J41" s="3" t="inlineStr">
        <is>
          <t>화면이 오류 없이 렌더되고 콘솔·네트워크 오류가 없다</t>
        </is>
      </c>
      <c r="K41" s="3" t="inlineStr"/>
      <c r="L41" s="13" t="inlineStr">
        <is>
          <t>Pass</t>
        </is>
      </c>
      <c r="M41" s="3" t="inlineStr">
        <is>
          <t>Chromium 1440x900 · mobile 390x844 · tablet 768x1024</t>
        </is>
      </c>
      <c r="N41" s="3" t="inlineStr">
        <is>
          <t>2026-08-25</t>
        </is>
      </c>
      <c r="O41" s="3" t="inlineStr"/>
      <c r="P41" s="3" t="inlineStr">
        <is>
          <t>HTTP 200</t>
        </is>
      </c>
      <c r="Q41" s="3" t="inlineStr">
        <is>
          <t>2순위</t>
        </is>
      </c>
    </row>
    <row r="42" ht="30" customHeight="1">
      <c r="A42" s="3" t="n">
        <v>41</v>
      </c>
      <c r="B42" s="3" t="inlineStr">
        <is>
          <t>TC-V041</t>
        </is>
      </c>
      <c r="C42" s="3" t="inlineStr">
        <is>
          <t>1차</t>
        </is>
      </c>
      <c r="D42" s="3" t="inlineStr">
        <is>
          <t>F-14</t>
        </is>
      </c>
      <c r="E42" s="3" t="inlineStr">
        <is>
          <t>/admin/projects</t>
        </is>
      </c>
      <c r="F42" s="3" t="inlineStr">
        <is>
          <t>정상</t>
        </is>
      </c>
      <c r="G42" s="3" t="inlineStr">
        <is>
          <t>관리자 세션으로 /admin/projects 진입</t>
        </is>
      </c>
      <c r="H42" s="3" t="inlineStr">
        <is>
          <t>관리자 계정 로그인</t>
        </is>
      </c>
      <c r="I42" s="3" t="inlineStr">
        <is>
          <t>1. /admin/projects 이동  2. 렌더·콘솔·네트워크 확인</t>
        </is>
      </c>
      <c r="J42" s="3" t="inlineStr">
        <is>
          <t>화면이 오류 없이 렌더되고 콘솔·네트워크 오류가 없다</t>
        </is>
      </c>
      <c r="K42" s="3" t="inlineStr"/>
      <c r="L42" s="13" t="inlineStr">
        <is>
          <t>Pass</t>
        </is>
      </c>
      <c r="M42" s="3" t="inlineStr">
        <is>
          <t>Chromium 1440x900 · mobile 390x844 · tablet 768x1024</t>
        </is>
      </c>
      <c r="N42" s="3" t="inlineStr">
        <is>
          <t>2026-08-25</t>
        </is>
      </c>
      <c r="O42" s="3" t="inlineStr"/>
      <c r="P42" s="3" t="inlineStr">
        <is>
          <t>HTTP 200</t>
        </is>
      </c>
      <c r="Q42" s="3" t="inlineStr">
        <is>
          <t>2순위</t>
        </is>
      </c>
    </row>
    <row r="43" ht="30" customHeight="1">
      <c r="A43" s="3" t="n">
        <v>42</v>
      </c>
      <c r="B43" s="3" t="inlineStr">
        <is>
          <t>TC-V042</t>
        </is>
      </c>
      <c r="C43" s="3" t="inlineStr">
        <is>
          <t>1차</t>
        </is>
      </c>
      <c r="D43" s="3" t="inlineStr">
        <is>
          <t>F-14</t>
        </is>
      </c>
      <c r="E43" s="3" t="inlineStr">
        <is>
          <t>/admin/operators</t>
        </is>
      </c>
      <c r="F43" s="3" t="inlineStr">
        <is>
          <t>정상</t>
        </is>
      </c>
      <c r="G43" s="3" t="inlineStr">
        <is>
          <t>관리자 세션으로 /admin/operators 진입</t>
        </is>
      </c>
      <c r="H43" s="3" t="inlineStr">
        <is>
          <t>관리자 계정 로그인</t>
        </is>
      </c>
      <c r="I43" s="3" t="inlineStr">
        <is>
          <t>1. /admin/operators 이동  2. 렌더·콘솔·네트워크 확인</t>
        </is>
      </c>
      <c r="J43" s="3" t="inlineStr">
        <is>
          <t>화면이 오류 없이 렌더되고 콘솔·네트워크 오류가 없다</t>
        </is>
      </c>
      <c r="K43" s="3" t="inlineStr"/>
      <c r="L43" s="13" t="inlineStr">
        <is>
          <t>Pass</t>
        </is>
      </c>
      <c r="M43" s="3" t="inlineStr">
        <is>
          <t>Chromium 1440x900 · mobile 390x844 · tablet 768x1024</t>
        </is>
      </c>
      <c r="N43" s="3" t="inlineStr">
        <is>
          <t>2026-08-25</t>
        </is>
      </c>
      <c r="O43" s="3" t="inlineStr"/>
      <c r="P43" s="3" t="inlineStr">
        <is>
          <t>HTTP 200</t>
        </is>
      </c>
      <c r="Q43" s="3" t="inlineStr">
        <is>
          <t>2순위</t>
        </is>
      </c>
    </row>
    <row r="44" ht="30" customHeight="1">
      <c r="A44" s="3" t="n">
        <v>43</v>
      </c>
      <c r="B44" s="3" t="inlineStr">
        <is>
          <t>TC-V043</t>
        </is>
      </c>
      <c r="C44" s="3" t="inlineStr">
        <is>
          <t>1차</t>
        </is>
      </c>
      <c r="D44" s="3" t="inlineStr">
        <is>
          <t>F-14</t>
        </is>
      </c>
      <c r="E44" s="3" t="inlineStr">
        <is>
          <t>/admin/spaces</t>
        </is>
      </c>
      <c r="F44" s="3" t="inlineStr">
        <is>
          <t>정상</t>
        </is>
      </c>
      <c r="G44" s="3" t="inlineStr">
        <is>
          <t>관리자 세션으로 /admin/spaces 진입</t>
        </is>
      </c>
      <c r="H44" s="3" t="inlineStr">
        <is>
          <t>관리자 계정 로그인</t>
        </is>
      </c>
      <c r="I44" s="3" t="inlineStr">
        <is>
          <t>1. /admin/spaces 이동  2. 렌더·콘솔·네트워크 확인</t>
        </is>
      </c>
      <c r="J44" s="3" t="inlineStr">
        <is>
          <t>화면이 오류 없이 렌더되고 콘솔·네트워크 오류가 없다</t>
        </is>
      </c>
      <c r="K44" s="3" t="inlineStr"/>
      <c r="L44" s="13" t="inlineStr">
        <is>
          <t>Pass</t>
        </is>
      </c>
      <c r="M44" s="3" t="inlineStr">
        <is>
          <t>Chromium 1440x900 · mobile 390x844 · tablet 768x1024</t>
        </is>
      </c>
      <c r="N44" s="3" t="inlineStr">
        <is>
          <t>2026-08-25</t>
        </is>
      </c>
      <c r="O44" s="3" t="inlineStr"/>
      <c r="P44" s="3" t="inlineStr">
        <is>
          <t>HTTP 200</t>
        </is>
      </c>
      <c r="Q44" s="3" t="inlineStr">
        <is>
          <t>2순위</t>
        </is>
      </c>
    </row>
    <row r="45" ht="30" customHeight="1">
      <c r="A45" s="3" t="n">
        <v>44</v>
      </c>
      <c r="B45" s="3" t="inlineStr">
        <is>
          <t>TC-V044</t>
        </is>
      </c>
      <c r="C45" s="3" t="inlineStr">
        <is>
          <t>1차</t>
        </is>
      </c>
      <c r="D45" s="3" t="inlineStr">
        <is>
          <t>F-14</t>
        </is>
      </c>
      <c r="E45" s="3" t="inlineStr">
        <is>
          <t>/admin/evidence</t>
        </is>
      </c>
      <c r="F45" s="3" t="inlineStr">
        <is>
          <t>정상</t>
        </is>
      </c>
      <c r="G45" s="3" t="inlineStr">
        <is>
          <t>관리자 세션으로 /admin/evidence 진입</t>
        </is>
      </c>
      <c r="H45" s="3" t="inlineStr">
        <is>
          <t>관리자 계정 로그인</t>
        </is>
      </c>
      <c r="I45" s="3" t="inlineStr">
        <is>
          <t>1. /admin/evidence 이동  2. 렌더·콘솔·네트워크 확인</t>
        </is>
      </c>
      <c r="J45" s="3" t="inlineStr">
        <is>
          <t>화면이 오류 없이 렌더되고 콘솔·네트워크 오류가 없다</t>
        </is>
      </c>
      <c r="K45" s="3" t="inlineStr"/>
      <c r="L45" s="13" t="inlineStr">
        <is>
          <t>Pass</t>
        </is>
      </c>
      <c r="M45" s="3" t="inlineStr">
        <is>
          <t>Chromium 1440x900 · mobile 390x844 · tablet 768x1024</t>
        </is>
      </c>
      <c r="N45" s="3" t="inlineStr">
        <is>
          <t>2026-08-25</t>
        </is>
      </c>
      <c r="O45" s="3" t="inlineStr"/>
      <c r="P45" s="3" t="inlineStr">
        <is>
          <t>HTTP 200</t>
        </is>
      </c>
      <c r="Q45" s="3" t="inlineStr">
        <is>
          <t>2순위</t>
        </is>
      </c>
    </row>
    <row r="46" ht="30" customHeight="1">
      <c r="A46" s="3" t="n">
        <v>45</v>
      </c>
      <c r="B46" s="3" t="inlineStr">
        <is>
          <t>TC-V045</t>
        </is>
      </c>
      <c r="C46" s="3" t="inlineStr">
        <is>
          <t>1차</t>
        </is>
      </c>
      <c r="D46" s="3" t="inlineStr">
        <is>
          <t>F-14</t>
        </is>
      </c>
      <c r="E46" s="3" t="inlineStr">
        <is>
          <t>/admin/issuances</t>
        </is>
      </c>
      <c r="F46" s="3" t="inlineStr">
        <is>
          <t>정상</t>
        </is>
      </c>
      <c r="G46" s="3" t="inlineStr">
        <is>
          <t>관리자 세션으로 /admin/issuances 진입</t>
        </is>
      </c>
      <c r="H46" s="3" t="inlineStr">
        <is>
          <t>관리자 계정 로그인</t>
        </is>
      </c>
      <c r="I46" s="3" t="inlineStr">
        <is>
          <t>1. /admin/issuances 이동  2. 렌더·콘솔·네트워크 확인</t>
        </is>
      </c>
      <c r="J46" s="3" t="inlineStr">
        <is>
          <t>화면이 오류 없이 렌더되고 콘솔·네트워크 오류가 없다</t>
        </is>
      </c>
      <c r="K46" s="3" t="inlineStr"/>
      <c r="L46" s="13" t="inlineStr">
        <is>
          <t>Pass</t>
        </is>
      </c>
      <c r="M46" s="3" t="inlineStr">
        <is>
          <t>Chromium 1440x900 · mobile 390x844 · tablet 768x1024</t>
        </is>
      </c>
      <c r="N46" s="3" t="inlineStr">
        <is>
          <t>2026-08-25</t>
        </is>
      </c>
      <c r="O46" s="3" t="inlineStr"/>
      <c r="P46" s="3" t="inlineStr">
        <is>
          <t>HTTP 200</t>
        </is>
      </c>
      <c r="Q46" s="3" t="inlineStr">
        <is>
          <t>2순위</t>
        </is>
      </c>
    </row>
    <row r="47" ht="30" customHeight="1">
      <c r="A47" s="3" t="n">
        <v>46</v>
      </c>
      <c r="B47" s="3" t="inlineStr">
        <is>
          <t>TC-V046</t>
        </is>
      </c>
      <c r="C47" s="3" t="inlineStr">
        <is>
          <t>1차</t>
        </is>
      </c>
      <c r="D47" s="3" t="inlineStr">
        <is>
          <t>F-14</t>
        </is>
      </c>
      <c r="E47" s="3" t="inlineStr">
        <is>
          <t>/admin/ledger</t>
        </is>
      </c>
      <c r="F47" s="3" t="inlineStr">
        <is>
          <t>정상</t>
        </is>
      </c>
      <c r="G47" s="3" t="inlineStr">
        <is>
          <t>관리자 세션으로 /admin/ledger 진입</t>
        </is>
      </c>
      <c r="H47" s="3" t="inlineStr">
        <is>
          <t>관리자 계정 로그인</t>
        </is>
      </c>
      <c r="I47" s="3" t="inlineStr">
        <is>
          <t>1. /admin/ledger 이동  2. 렌더·콘솔·네트워크 확인</t>
        </is>
      </c>
      <c r="J47" s="3" t="inlineStr">
        <is>
          <t>화면이 오류 없이 렌더되고 콘솔·네트워크 오류가 없다</t>
        </is>
      </c>
      <c r="K47" s="3" t="inlineStr"/>
      <c r="L47" s="13" t="inlineStr">
        <is>
          <t>Pass</t>
        </is>
      </c>
      <c r="M47" s="3" t="inlineStr">
        <is>
          <t>Chromium 1440x900 · mobile 390x844 · tablet 768x1024</t>
        </is>
      </c>
      <c r="N47" s="3" t="inlineStr">
        <is>
          <t>2026-08-25</t>
        </is>
      </c>
      <c r="O47" s="3" t="inlineStr"/>
      <c r="P47" s="3" t="inlineStr">
        <is>
          <t>HTTP 200</t>
        </is>
      </c>
      <c r="Q47" s="3" t="inlineStr">
        <is>
          <t>2순위</t>
        </is>
      </c>
    </row>
    <row r="48" ht="30" customHeight="1">
      <c r="A48" s="3" t="n">
        <v>47</v>
      </c>
      <c r="B48" s="3" t="inlineStr">
        <is>
          <t>TC-V047</t>
        </is>
      </c>
      <c r="C48" s="3" t="inlineStr">
        <is>
          <t>1차</t>
        </is>
      </c>
      <c r="D48" s="3" t="inlineStr">
        <is>
          <t>F-14</t>
        </is>
      </c>
      <c r="E48" s="3" t="inlineStr">
        <is>
          <t>/admin/settlements</t>
        </is>
      </c>
      <c r="F48" s="3" t="inlineStr">
        <is>
          <t>정상</t>
        </is>
      </c>
      <c r="G48" s="3" t="inlineStr">
        <is>
          <t>관리자 세션으로 /admin/settlements 진입</t>
        </is>
      </c>
      <c r="H48" s="3" t="inlineStr">
        <is>
          <t>관리자 계정 로그인</t>
        </is>
      </c>
      <c r="I48" s="3" t="inlineStr">
        <is>
          <t>1. /admin/settlements 이동  2. 렌더·콘솔·네트워크 확인</t>
        </is>
      </c>
      <c r="J48" s="3" t="inlineStr">
        <is>
          <t>화면이 오류 없이 렌더되고 콘솔·네트워크 오류가 없다</t>
        </is>
      </c>
      <c r="K48" s="3" t="inlineStr"/>
      <c r="L48" s="13" t="inlineStr">
        <is>
          <t>Pass</t>
        </is>
      </c>
      <c r="M48" s="3" t="inlineStr">
        <is>
          <t>Chromium 1440x900 · mobile 390x844 · tablet 768x1024</t>
        </is>
      </c>
      <c r="N48" s="3" t="inlineStr">
        <is>
          <t>2026-08-25</t>
        </is>
      </c>
      <c r="O48" s="3" t="inlineStr"/>
      <c r="P48" s="3" t="inlineStr">
        <is>
          <t>HTTP 200</t>
        </is>
      </c>
      <c r="Q48" s="3" t="inlineStr">
        <is>
          <t>2순위</t>
        </is>
      </c>
    </row>
    <row r="49" ht="30" customHeight="1">
      <c r="A49" s="3" t="n">
        <v>48</v>
      </c>
      <c r="B49" s="3" t="inlineStr">
        <is>
          <t>TC-V048</t>
        </is>
      </c>
      <c r="C49" s="3" t="inlineStr">
        <is>
          <t>1차</t>
        </is>
      </c>
      <c r="D49" s="3" t="inlineStr">
        <is>
          <t>F-14</t>
        </is>
      </c>
      <c r="E49" s="3" t="inlineStr">
        <is>
          <t>/admin/settlement-rules</t>
        </is>
      </c>
      <c r="F49" s="3" t="inlineStr">
        <is>
          <t>정상</t>
        </is>
      </c>
      <c r="G49" s="3" t="inlineStr">
        <is>
          <t>관리자 세션으로 /admin/settlement-rules 진입</t>
        </is>
      </c>
      <c r="H49" s="3" t="inlineStr">
        <is>
          <t>관리자 계정 로그인</t>
        </is>
      </c>
      <c r="I49" s="3" t="inlineStr">
        <is>
          <t>1. /admin/settlement-rules 이동  2. 렌더·콘솔·네트워크 확인</t>
        </is>
      </c>
      <c r="J49" s="3" t="inlineStr">
        <is>
          <t>화면이 오류 없이 렌더되고 콘솔·네트워크 오류가 없다</t>
        </is>
      </c>
      <c r="K49" s="3" t="inlineStr"/>
      <c r="L49" s="13" t="inlineStr">
        <is>
          <t>Pass</t>
        </is>
      </c>
      <c r="M49" s="3" t="inlineStr">
        <is>
          <t>Chromium 1440x900 · mobile 390x844 · tablet 768x1024</t>
        </is>
      </c>
      <c r="N49" s="3" t="inlineStr">
        <is>
          <t>2026-08-25</t>
        </is>
      </c>
      <c r="O49" s="3" t="inlineStr"/>
      <c r="P49" s="3" t="inlineStr">
        <is>
          <t>HTTP 200</t>
        </is>
      </c>
      <c r="Q49" s="3" t="inlineStr">
        <is>
          <t>2순위</t>
        </is>
      </c>
    </row>
    <row r="50" ht="30" customHeight="1">
      <c r="A50" s="3" t="n">
        <v>49</v>
      </c>
      <c r="B50" s="3" t="inlineStr">
        <is>
          <t>TC-V049</t>
        </is>
      </c>
      <c r="C50" s="3" t="inlineStr">
        <is>
          <t>1차</t>
        </is>
      </c>
      <c r="D50" s="3" t="inlineStr">
        <is>
          <t>F-14</t>
        </is>
      </c>
      <c r="E50" s="3" t="inlineStr">
        <is>
          <t>/admin/subscriptions</t>
        </is>
      </c>
      <c r="F50" s="3" t="inlineStr">
        <is>
          <t>정상</t>
        </is>
      </c>
      <c r="G50" s="3" t="inlineStr">
        <is>
          <t>관리자 세션으로 /admin/subscriptions 진입</t>
        </is>
      </c>
      <c r="H50" s="3" t="inlineStr">
        <is>
          <t>관리자 계정 로그인</t>
        </is>
      </c>
      <c r="I50" s="3" t="inlineStr">
        <is>
          <t>1. /admin/subscriptions 이동  2. 렌더·콘솔·네트워크 확인</t>
        </is>
      </c>
      <c r="J50" s="3" t="inlineStr">
        <is>
          <t>화면이 오류 없이 렌더되고 콘솔·네트워크 오류가 없다</t>
        </is>
      </c>
      <c r="K50" s="3" t="inlineStr"/>
      <c r="L50" s="13" t="inlineStr">
        <is>
          <t>Pass</t>
        </is>
      </c>
      <c r="M50" s="3" t="inlineStr">
        <is>
          <t>Chromium 1440x900 · mobile 390x844 · tablet 768x1024</t>
        </is>
      </c>
      <c r="N50" s="3" t="inlineStr">
        <is>
          <t>2026-08-25</t>
        </is>
      </c>
      <c r="O50" s="3" t="inlineStr"/>
      <c r="P50" s="3" t="inlineStr">
        <is>
          <t>HTTP 200</t>
        </is>
      </c>
      <c r="Q50" s="3" t="inlineStr">
        <is>
          <t>2순위</t>
        </is>
      </c>
    </row>
    <row r="51" ht="30" customHeight="1">
      <c r="A51" s="3" t="n">
        <v>50</v>
      </c>
      <c r="B51" s="3" t="inlineStr">
        <is>
          <t>TC-V050</t>
        </is>
      </c>
      <c r="C51" s="3" t="inlineStr">
        <is>
          <t>1차</t>
        </is>
      </c>
      <c r="D51" s="3" t="inlineStr">
        <is>
          <t>F-14</t>
        </is>
      </c>
      <c r="E51" s="3" t="inlineStr">
        <is>
          <t>/admin/certificates</t>
        </is>
      </c>
      <c r="F51" s="3" t="inlineStr">
        <is>
          <t>정상</t>
        </is>
      </c>
      <c r="G51" s="3" t="inlineStr">
        <is>
          <t>관리자 세션으로 /admin/certificates 진입</t>
        </is>
      </c>
      <c r="H51" s="3" t="inlineStr">
        <is>
          <t>관리자 계정 로그인</t>
        </is>
      </c>
      <c r="I51" s="3" t="inlineStr">
        <is>
          <t>1. /admin/certificates 이동  2. 렌더·콘솔·네트워크 확인</t>
        </is>
      </c>
      <c r="J51" s="3" t="inlineStr">
        <is>
          <t>화면이 오류 없이 렌더되고 콘솔·네트워크 오류가 없다</t>
        </is>
      </c>
      <c r="K51" s="3" t="inlineStr"/>
      <c r="L51" s="13" t="inlineStr">
        <is>
          <t>Pass</t>
        </is>
      </c>
      <c r="M51" s="3" t="inlineStr">
        <is>
          <t>Chromium 1440x900 · mobile 390x844 · tablet 768x1024</t>
        </is>
      </c>
      <c r="N51" s="3" t="inlineStr">
        <is>
          <t>2026-08-25</t>
        </is>
      </c>
      <c r="O51" s="3" t="inlineStr"/>
      <c r="P51" s="3" t="inlineStr">
        <is>
          <t>HTTP 200</t>
        </is>
      </c>
      <c r="Q51" s="3" t="inlineStr">
        <is>
          <t>2순위</t>
        </is>
      </c>
    </row>
    <row r="52" ht="30" customHeight="1">
      <c r="A52" s="3" t="n">
        <v>51</v>
      </c>
      <c r="B52" s="3" t="inlineStr">
        <is>
          <t>TC-V051</t>
        </is>
      </c>
      <c r="C52" s="3" t="inlineStr">
        <is>
          <t>1차</t>
        </is>
      </c>
      <c r="D52" s="3" t="inlineStr">
        <is>
          <t>F-16</t>
        </is>
      </c>
      <c r="E52" s="3" t="inlineStr">
        <is>
          <t>/admin/audit-logs</t>
        </is>
      </c>
      <c r="F52" s="3" t="inlineStr">
        <is>
          <t>정상</t>
        </is>
      </c>
      <c r="G52" s="3" t="inlineStr">
        <is>
          <t>관리자 세션으로 /admin/audit-logs 진입</t>
        </is>
      </c>
      <c r="H52" s="3" t="inlineStr">
        <is>
          <t>관리자 계정 로그인</t>
        </is>
      </c>
      <c r="I52" s="3" t="inlineStr">
        <is>
          <t>1. /admin/audit-logs 이동  2. 렌더·콘솔·네트워크 확인</t>
        </is>
      </c>
      <c r="J52" s="3" t="inlineStr">
        <is>
          <t>화면이 오류 없이 렌더되고 콘솔·네트워크 오류가 없다</t>
        </is>
      </c>
      <c r="K52" s="3" t="inlineStr"/>
      <c r="L52" s="13" t="inlineStr">
        <is>
          <t>Pass</t>
        </is>
      </c>
      <c r="M52" s="3" t="inlineStr">
        <is>
          <t>Chromium 1440x900 · mobile 390x844 · tablet 768x1024</t>
        </is>
      </c>
      <c r="N52" s="3" t="inlineStr">
        <is>
          <t>2026-08-25</t>
        </is>
      </c>
      <c r="O52" s="3" t="inlineStr"/>
      <c r="P52" s="3" t="inlineStr">
        <is>
          <t>HTTP 200</t>
        </is>
      </c>
      <c r="Q52" s="3" t="inlineStr">
        <is>
          <t>2순위</t>
        </is>
      </c>
    </row>
    <row r="53" ht="30" customHeight="1">
      <c r="A53" s="3" t="n">
        <v>52</v>
      </c>
      <c r="B53" s="3" t="inlineStr">
        <is>
          <t>TC-V052</t>
        </is>
      </c>
      <c r="C53" s="3" t="inlineStr">
        <is>
          <t>1차</t>
        </is>
      </c>
      <c r="D53" s="3" t="inlineStr">
        <is>
          <t>F-14</t>
        </is>
      </c>
      <c r="E53" s="3" t="inlineStr">
        <is>
          <t>/admin/aml</t>
        </is>
      </c>
      <c r="F53" s="3" t="inlineStr">
        <is>
          <t>정상</t>
        </is>
      </c>
      <c r="G53" s="3" t="inlineStr">
        <is>
          <t>관리자 세션으로 /admin/aml 진입</t>
        </is>
      </c>
      <c r="H53" s="3" t="inlineStr">
        <is>
          <t>관리자 계정 로그인</t>
        </is>
      </c>
      <c r="I53" s="3" t="inlineStr">
        <is>
          <t>1. /admin/aml 이동  2. 렌더·콘솔·네트워크 확인</t>
        </is>
      </c>
      <c r="J53" s="3" t="inlineStr">
        <is>
          <t>화면이 오류 없이 렌더되고 콘솔·네트워크 오류가 없다</t>
        </is>
      </c>
      <c r="K53" s="3" t="inlineStr"/>
      <c r="L53" s="13" t="inlineStr">
        <is>
          <t>Pass</t>
        </is>
      </c>
      <c r="M53" s="3" t="inlineStr">
        <is>
          <t>Chromium 1440x900 · mobile 390x844 · tablet 768x1024</t>
        </is>
      </c>
      <c r="N53" s="3" t="inlineStr">
        <is>
          <t>2026-08-25</t>
        </is>
      </c>
      <c r="O53" s="3" t="inlineStr"/>
      <c r="P53" s="3" t="inlineStr">
        <is>
          <t>HTTP 200</t>
        </is>
      </c>
      <c r="Q53" s="3" t="inlineStr">
        <is>
          <t>2순위</t>
        </is>
      </c>
    </row>
    <row r="54" ht="30" customHeight="1">
      <c r="A54" s="3" t="n">
        <v>53</v>
      </c>
      <c r="B54" s="3" t="inlineStr">
        <is>
          <t>TC-V053</t>
        </is>
      </c>
      <c r="C54" s="3" t="inlineStr">
        <is>
          <t>1차</t>
        </is>
      </c>
      <c r="D54" s="3" t="inlineStr">
        <is>
          <t>F-14</t>
        </is>
      </c>
      <c r="E54" s="3" t="inlineStr">
        <is>
          <t>/admin/expert-review</t>
        </is>
      </c>
      <c r="F54" s="3" t="inlineStr">
        <is>
          <t>정상</t>
        </is>
      </c>
      <c r="G54" s="3" t="inlineStr">
        <is>
          <t>관리자 세션으로 /admin/expert-review 진입</t>
        </is>
      </c>
      <c r="H54" s="3" t="inlineStr">
        <is>
          <t>관리자 계정 로그인</t>
        </is>
      </c>
      <c r="I54" s="3" t="inlineStr">
        <is>
          <t>1. /admin/expert-review 이동  2. 렌더·콘솔·네트워크 확인</t>
        </is>
      </c>
      <c r="J54" s="3" t="inlineStr">
        <is>
          <t>화면이 오류 없이 렌더되고 콘솔·네트워크 오류가 없다</t>
        </is>
      </c>
      <c r="K54" s="3" t="inlineStr"/>
      <c r="L54" s="13" t="inlineStr">
        <is>
          <t>Pass</t>
        </is>
      </c>
      <c r="M54" s="3" t="inlineStr">
        <is>
          <t>Chromium 1440x900 · mobile 390x844 · tablet 768x1024</t>
        </is>
      </c>
      <c r="N54" s="3" t="inlineStr">
        <is>
          <t>2026-08-25</t>
        </is>
      </c>
      <c r="O54" s="3" t="inlineStr"/>
      <c r="P54" s="3" t="inlineStr">
        <is>
          <t>HTTP 200</t>
        </is>
      </c>
      <c r="Q54" s="3" t="inlineStr">
        <is>
          <t>2순위</t>
        </is>
      </c>
    </row>
    <row r="55" ht="30" customHeight="1">
      <c r="A55" s="3" t="n">
        <v>54</v>
      </c>
      <c r="B55" s="3" t="inlineStr">
        <is>
          <t>TC-V054</t>
        </is>
      </c>
      <c r="C55" s="3" t="inlineStr">
        <is>
          <t>1차</t>
        </is>
      </c>
      <c r="D55" s="3" t="inlineStr">
        <is>
          <t>F-14</t>
        </is>
      </c>
      <c r="E55" s="3" t="inlineStr">
        <is>
          <t>/admin/notifications</t>
        </is>
      </c>
      <c r="F55" s="3" t="inlineStr">
        <is>
          <t>정상</t>
        </is>
      </c>
      <c r="G55" s="3" t="inlineStr">
        <is>
          <t>관리자 세션으로 /admin/notifications 진입</t>
        </is>
      </c>
      <c r="H55" s="3" t="inlineStr">
        <is>
          <t>관리자 계정 로그인</t>
        </is>
      </c>
      <c r="I55" s="3" t="inlineStr">
        <is>
          <t>1. /admin/notifications 이동  2. 렌더·콘솔·네트워크 확인</t>
        </is>
      </c>
      <c r="J55" s="3" t="inlineStr">
        <is>
          <t>화면이 오류 없이 렌더되고 콘솔·네트워크 오류가 없다</t>
        </is>
      </c>
      <c r="K55" s="3" t="inlineStr"/>
      <c r="L55" s="13" t="inlineStr">
        <is>
          <t>Pass</t>
        </is>
      </c>
      <c r="M55" s="3" t="inlineStr">
        <is>
          <t>Chromium 1440x900 · mobile 390x844 · tablet 768x1024</t>
        </is>
      </c>
      <c r="N55" s="3" t="inlineStr">
        <is>
          <t>2026-08-25</t>
        </is>
      </c>
      <c r="O55" s="3" t="inlineStr"/>
      <c r="P55" s="3" t="inlineStr">
        <is>
          <t>HTTP 200</t>
        </is>
      </c>
      <c r="Q55" s="3" t="inlineStr">
        <is>
          <t>2순위</t>
        </is>
      </c>
    </row>
    <row r="56" ht="30" customHeight="1">
      <c r="A56" s="3" t="n">
        <v>55</v>
      </c>
      <c r="B56" s="3" t="inlineStr">
        <is>
          <t>TC-V055</t>
        </is>
      </c>
      <c r="C56" s="3" t="inlineStr">
        <is>
          <t>1차</t>
        </is>
      </c>
      <c r="D56" s="3" t="inlineStr">
        <is>
          <t>F-14</t>
        </is>
      </c>
      <c r="E56" s="3" t="inlineStr">
        <is>
          <t>/admin/reports</t>
        </is>
      </c>
      <c r="F56" s="3" t="inlineStr">
        <is>
          <t>정상</t>
        </is>
      </c>
      <c r="G56" s="3" t="inlineStr">
        <is>
          <t>관리자 세션으로 /admin/reports 진입</t>
        </is>
      </c>
      <c r="H56" s="3" t="inlineStr">
        <is>
          <t>관리자 계정 로그인</t>
        </is>
      </c>
      <c r="I56" s="3" t="inlineStr">
        <is>
          <t>1. /admin/reports 이동  2. 렌더·콘솔·네트워크 확인</t>
        </is>
      </c>
      <c r="J56" s="3" t="inlineStr">
        <is>
          <t>화면이 오류 없이 렌더되고 콘솔·네트워크 오류가 없다</t>
        </is>
      </c>
      <c r="K56" s="3" t="inlineStr"/>
      <c r="L56" s="13" t="inlineStr">
        <is>
          <t>Pass</t>
        </is>
      </c>
      <c r="M56" s="3" t="inlineStr">
        <is>
          <t>Chromium 1440x900 · mobile 390x844 · tablet 768x1024</t>
        </is>
      </c>
      <c r="N56" s="3" t="inlineStr">
        <is>
          <t>2026-08-25</t>
        </is>
      </c>
      <c r="O56" s="3" t="inlineStr"/>
      <c r="P56" s="3" t="inlineStr">
        <is>
          <t>HTTP 200</t>
        </is>
      </c>
      <c r="Q56" s="3" t="inlineStr">
        <is>
          <t>2순위</t>
        </is>
      </c>
    </row>
    <row r="57" ht="30" customHeight="1">
      <c r="A57" s="3" t="n">
        <v>56</v>
      </c>
      <c r="B57" s="3" t="inlineStr">
        <is>
          <t>TC-V056</t>
        </is>
      </c>
      <c r="C57" s="3" t="inlineStr">
        <is>
          <t>1차</t>
        </is>
      </c>
      <c r="D57" s="3" t="inlineStr">
        <is>
          <t>F-14</t>
        </is>
      </c>
      <c r="E57" s="3" t="inlineStr">
        <is>
          <t>/admin/roles</t>
        </is>
      </c>
      <c r="F57" s="3" t="inlineStr">
        <is>
          <t>정상</t>
        </is>
      </c>
      <c r="G57" s="3" t="inlineStr">
        <is>
          <t>관리자 세션으로 /admin/roles 진입</t>
        </is>
      </c>
      <c r="H57" s="3" t="inlineStr">
        <is>
          <t>관리자 계정 로그인</t>
        </is>
      </c>
      <c r="I57" s="3" t="inlineStr">
        <is>
          <t>1. /admin/roles 이동  2. 렌더·콘솔·네트워크 확인</t>
        </is>
      </c>
      <c r="J57" s="3" t="inlineStr">
        <is>
          <t>화면이 오류 없이 렌더되고 콘솔·네트워크 오류가 없다</t>
        </is>
      </c>
      <c r="K57" s="3" t="inlineStr"/>
      <c r="L57" s="13" t="inlineStr">
        <is>
          <t>Pass</t>
        </is>
      </c>
      <c r="M57" s="3" t="inlineStr">
        <is>
          <t>Chromium 1440x900 · mobile 390x844 · tablet 768x1024</t>
        </is>
      </c>
      <c r="N57" s="3" t="inlineStr">
        <is>
          <t>2026-08-25</t>
        </is>
      </c>
      <c r="O57" s="3" t="inlineStr"/>
      <c r="P57" s="3" t="inlineStr">
        <is>
          <t>HTTP 200</t>
        </is>
      </c>
      <c r="Q57" s="3" t="inlineStr">
        <is>
          <t>2순위</t>
        </is>
      </c>
    </row>
    <row r="58" ht="30" customHeight="1">
      <c r="A58" s="3" t="n">
        <v>57</v>
      </c>
      <c r="B58" s="3" t="inlineStr">
        <is>
          <t>TC-V057</t>
        </is>
      </c>
      <c r="C58" s="3" t="inlineStr">
        <is>
          <t>1차</t>
        </is>
      </c>
      <c r="D58" s="3" t="inlineStr">
        <is>
          <t>F-14</t>
        </is>
      </c>
      <c r="E58" s="3" t="inlineStr">
        <is>
          <t>/admin/verify</t>
        </is>
      </c>
      <c r="F58" s="3" t="inlineStr">
        <is>
          <t>정상</t>
        </is>
      </c>
      <c r="G58" s="3" t="inlineStr">
        <is>
          <t>관리자 세션으로 /admin/verify 진입</t>
        </is>
      </c>
      <c r="H58" s="3" t="inlineStr">
        <is>
          <t>관리자 계정 로그인</t>
        </is>
      </c>
      <c r="I58" s="3" t="inlineStr">
        <is>
          <t>1. /admin/verify 이동  2. 렌더·콘솔·네트워크 확인</t>
        </is>
      </c>
      <c r="J58" s="3" t="inlineStr">
        <is>
          <t>화면이 오류 없이 렌더되고 콘솔·네트워크 오류가 없다</t>
        </is>
      </c>
      <c r="K58" s="3" t="inlineStr"/>
      <c r="L58" s="13" t="inlineStr">
        <is>
          <t>Pass</t>
        </is>
      </c>
      <c r="M58" s="3" t="inlineStr">
        <is>
          <t>Chromium 1440x900 · mobile 390x844 · tablet 768x1024</t>
        </is>
      </c>
      <c r="N58" s="3" t="inlineStr">
        <is>
          <t>2026-08-25</t>
        </is>
      </c>
      <c r="O58" s="3" t="inlineStr"/>
      <c r="P58" s="3" t="inlineStr">
        <is>
          <t>HTTP 200</t>
        </is>
      </c>
      <c r="Q58" s="3" t="inlineStr">
        <is>
          <t>2순위</t>
        </is>
      </c>
    </row>
    <row r="59" ht="30" customHeight="1">
      <c r="A59" s="3" t="n">
        <v>58</v>
      </c>
      <c r="B59" s="3" t="inlineStr">
        <is>
          <t>TC-V058</t>
        </is>
      </c>
      <c r="C59" s="3" t="inlineStr">
        <is>
          <t>1차</t>
        </is>
      </c>
      <c r="D59" s="3" t="inlineStr">
        <is>
          <t>F-14</t>
        </is>
      </c>
      <c r="E59" s="3" t="inlineStr">
        <is>
          <t>/admin/demo</t>
        </is>
      </c>
      <c r="F59" s="3" t="inlineStr">
        <is>
          <t>정상</t>
        </is>
      </c>
      <c r="G59" s="3" t="inlineStr">
        <is>
          <t>관리자 세션으로 /admin/demo 진입</t>
        </is>
      </c>
      <c r="H59" s="3" t="inlineStr">
        <is>
          <t>관리자 계정 로그인</t>
        </is>
      </c>
      <c r="I59" s="3" t="inlineStr">
        <is>
          <t>1. /admin/demo 이동  2. 렌더·콘솔·네트워크 확인</t>
        </is>
      </c>
      <c r="J59" s="3" t="inlineStr">
        <is>
          <t>화면이 오류 없이 렌더되고 콘솔·네트워크 오류가 없다</t>
        </is>
      </c>
      <c r="K59" s="3" t="inlineStr"/>
      <c r="L59" s="13" t="inlineStr">
        <is>
          <t>Pass</t>
        </is>
      </c>
      <c r="M59" s="3" t="inlineStr">
        <is>
          <t>Chromium 1440x900 · mobile 390x844 · tablet 768x1024</t>
        </is>
      </c>
      <c r="N59" s="3" t="inlineStr">
        <is>
          <t>2026-08-25</t>
        </is>
      </c>
      <c r="O59" s="3" t="inlineStr"/>
      <c r="P59" s="3" t="inlineStr">
        <is>
          <t>HTTP 200</t>
        </is>
      </c>
      <c r="Q59" s="3" t="inlineStr">
        <is>
          <t>2순위</t>
        </is>
      </c>
    </row>
    <row r="60" ht="30" customHeight="1">
      <c r="A60" s="3" t="n">
        <v>59</v>
      </c>
      <c r="B60" s="3" t="inlineStr">
        <is>
          <t>TC-P01</t>
        </is>
      </c>
      <c r="C60" s="3" t="inlineStr">
        <is>
          <t>1차</t>
        </is>
      </c>
      <c r="D60" s="3" t="inlineStr">
        <is>
          <t>F-17</t>
        </is>
      </c>
      <c r="E60" s="3" t="inlineStr">
        <is>
          <t>/api/audit-logs</t>
        </is>
      </c>
      <c r="F60" s="3" t="inlineStr">
        <is>
          <t>예외</t>
        </is>
      </c>
      <c r="G60" s="3" t="inlineStr">
        <is>
          <t>/api/audit-logs 를 역할별로 호출</t>
        </is>
      </c>
      <c r="H60" s="3" t="inlineStr">
        <is>
          <t>각 역할 계정 로그인</t>
        </is>
      </c>
      <c r="I60" s="3" t="inlineStr">
        <is>
          <t>1. 각 역할 세션으로 GET  2. 상태코드 비교</t>
        </is>
      </c>
      <c r="J60" s="3" t="inlineStr">
        <is>
          <t>비회원 401 · 투자자/운영자/임대인 403 · 관리자 200</t>
        </is>
      </c>
      <c r="K60" s="3" t="inlineStr"/>
      <c r="L60" s="13" t="inlineStr">
        <is>
          <t>Pass</t>
        </is>
      </c>
      <c r="M60" s="3" t="inlineStr">
        <is>
          <t>Chromium 1440x900 · mobile 390x844 · tablet 768x1024</t>
        </is>
      </c>
      <c r="N60" s="3" t="inlineStr">
        <is>
          <t>2026-08-25</t>
        </is>
      </c>
      <c r="O60" s="3" t="inlineStr"/>
      <c r="P60" s="3" t="inlineStr">
        <is>
          <t>guest:401 / investor:403 / operator:403 / landlord:403 / admin:200</t>
        </is>
      </c>
      <c r="Q60" s="3" t="inlineStr">
        <is>
          <t>1순위</t>
        </is>
      </c>
    </row>
    <row r="61" ht="30" customHeight="1">
      <c r="A61" s="3" t="n">
        <v>60</v>
      </c>
      <c r="B61" s="3" t="inlineStr">
        <is>
          <t>TC-P02</t>
        </is>
      </c>
      <c r="C61" s="3" t="inlineStr">
        <is>
          <t>1차</t>
        </is>
      </c>
      <c r="D61" s="3" t="inlineStr">
        <is>
          <t>F-17</t>
        </is>
      </c>
      <c r="E61" s="3" t="inlineStr">
        <is>
          <t>/api/admin/users</t>
        </is>
      </c>
      <c r="F61" s="3" t="inlineStr">
        <is>
          <t>예외</t>
        </is>
      </c>
      <c r="G61" s="3" t="inlineStr">
        <is>
          <t>/api/admin/users 를 역할별로 호출</t>
        </is>
      </c>
      <c r="H61" s="3" t="inlineStr">
        <is>
          <t>각 역할 계정 로그인</t>
        </is>
      </c>
      <c r="I61" s="3" t="inlineStr">
        <is>
          <t>1. 각 역할 세션으로 GET  2. 상태코드 비교</t>
        </is>
      </c>
      <c r="J61" s="3" t="inlineStr">
        <is>
          <t>비회원 401 · 투자자/운영자/임대인 403 · 관리자 200</t>
        </is>
      </c>
      <c r="K61" s="3" t="inlineStr"/>
      <c r="L61" s="13" t="inlineStr">
        <is>
          <t>Pass</t>
        </is>
      </c>
      <c r="M61" s="3" t="inlineStr">
        <is>
          <t>Chromium 1440x900 · mobile 390x844 · tablet 768x1024</t>
        </is>
      </c>
      <c r="N61" s="3" t="inlineStr">
        <is>
          <t>2026-08-25</t>
        </is>
      </c>
      <c r="O61" s="3" t="inlineStr"/>
      <c r="P61" s="3" t="inlineStr">
        <is>
          <t>guest:401 / investor:403 / operator:403 / landlord:403 / admin:200</t>
        </is>
      </c>
      <c r="Q61" s="3" t="inlineStr">
        <is>
          <t>1순위</t>
        </is>
      </c>
    </row>
    <row r="62" ht="30" customHeight="1">
      <c r="A62" s="3" t="n">
        <v>61</v>
      </c>
      <c r="B62" s="3" t="inlineStr">
        <is>
          <t>TC-P03</t>
        </is>
      </c>
      <c r="C62" s="3" t="inlineStr">
        <is>
          <t>1차</t>
        </is>
      </c>
      <c r="D62" s="3" t="inlineStr">
        <is>
          <t>F-17</t>
        </is>
      </c>
      <c r="E62" s="3" t="inlineStr">
        <is>
          <t>/api/admin/issuances</t>
        </is>
      </c>
      <c r="F62" s="3" t="inlineStr">
        <is>
          <t>예외</t>
        </is>
      </c>
      <c r="G62" s="3" t="inlineStr">
        <is>
          <t>/api/admin/issuances 를 역할별로 호출</t>
        </is>
      </c>
      <c r="H62" s="3" t="inlineStr">
        <is>
          <t>각 역할 계정 로그인</t>
        </is>
      </c>
      <c r="I62" s="3" t="inlineStr">
        <is>
          <t>1. 각 역할 세션으로 GET  2. 상태코드 비교</t>
        </is>
      </c>
      <c r="J62" s="3" t="inlineStr">
        <is>
          <t>비회원 401 · 투자자/운영자/임대인 403 · 관리자 200</t>
        </is>
      </c>
      <c r="K62" s="3" t="inlineStr"/>
      <c r="L62" s="13" t="inlineStr">
        <is>
          <t>Pass</t>
        </is>
      </c>
      <c r="M62" s="3" t="inlineStr">
        <is>
          <t>Chromium 1440x900 · mobile 390x844 · tablet 768x1024</t>
        </is>
      </c>
      <c r="N62" s="3" t="inlineStr">
        <is>
          <t>2026-08-25</t>
        </is>
      </c>
      <c r="O62" s="3" t="inlineStr"/>
      <c r="P62" s="3" t="inlineStr">
        <is>
          <t>guest:401 / investor:403 / operator:403 / landlord:403 / admin:200</t>
        </is>
      </c>
      <c r="Q62" s="3" t="inlineStr">
        <is>
          <t>1순위</t>
        </is>
      </c>
    </row>
    <row r="63" ht="30" customHeight="1">
      <c r="A63" s="3" t="n">
        <v>62</v>
      </c>
      <c r="B63" s="3" t="inlineStr">
        <is>
          <t>TC-P04</t>
        </is>
      </c>
      <c r="C63" s="3" t="inlineStr">
        <is>
          <t>1차</t>
        </is>
      </c>
      <c r="D63" s="3" t="inlineStr">
        <is>
          <t>F-17</t>
        </is>
      </c>
      <c r="E63" s="3" t="inlineStr">
        <is>
          <t>/api/admin/reconciliation</t>
        </is>
      </c>
      <c r="F63" s="3" t="inlineStr">
        <is>
          <t>예외</t>
        </is>
      </c>
      <c r="G63" s="3" t="inlineStr">
        <is>
          <t>/api/admin/reconciliation 를 역할별로 호출</t>
        </is>
      </c>
      <c r="H63" s="3" t="inlineStr">
        <is>
          <t>각 역할 계정 로그인</t>
        </is>
      </c>
      <c r="I63" s="3" t="inlineStr">
        <is>
          <t>1. 각 역할 세션으로 GET  2. 상태코드 비교</t>
        </is>
      </c>
      <c r="J63" s="3" t="inlineStr">
        <is>
          <t>비회원 401 · 투자자/운영자/임대인 403 · 관리자 200</t>
        </is>
      </c>
      <c r="K63" s="3" t="inlineStr"/>
      <c r="L63" s="13" t="inlineStr">
        <is>
          <t>Pass</t>
        </is>
      </c>
      <c r="M63" s="3" t="inlineStr">
        <is>
          <t>Chromium 1440x900 · mobile 390x844 · tablet 768x1024</t>
        </is>
      </c>
      <c r="N63" s="3" t="inlineStr">
        <is>
          <t>2026-08-25</t>
        </is>
      </c>
      <c r="O63" s="3" t="inlineStr"/>
      <c r="P63" s="3" t="inlineStr">
        <is>
          <t>guest:401 / investor:403 / operator:403 / landlord:403 / admin:200</t>
        </is>
      </c>
      <c r="Q63" s="3" t="inlineStr">
        <is>
          <t>1순위</t>
        </is>
      </c>
    </row>
    <row r="64" ht="30" customHeight="1">
      <c r="A64" s="3" t="n">
        <v>63</v>
      </c>
      <c r="B64" s="3" t="inlineStr">
        <is>
          <t>TC-P05</t>
        </is>
      </c>
      <c r="C64" s="3" t="inlineStr">
        <is>
          <t>1차</t>
        </is>
      </c>
      <c r="D64" s="3" t="inlineStr">
        <is>
          <t>F-17</t>
        </is>
      </c>
      <c r="E64" s="3" t="inlineStr">
        <is>
          <t>/api/reports/institution</t>
        </is>
      </c>
      <c r="F64" s="3" t="inlineStr">
        <is>
          <t>예외</t>
        </is>
      </c>
      <c r="G64" s="3" t="inlineStr">
        <is>
          <t>/api/reports/institution 를 역할별로 호출</t>
        </is>
      </c>
      <c r="H64" s="3" t="inlineStr">
        <is>
          <t>각 역할 계정 로그인</t>
        </is>
      </c>
      <c r="I64" s="3" t="inlineStr">
        <is>
          <t>1. 각 역할 세션으로 GET  2. 상태코드 비교</t>
        </is>
      </c>
      <c r="J64" s="3" t="inlineStr">
        <is>
          <t>비회원 401 · 투자자/운영자/임대인 403 · 관리자 200</t>
        </is>
      </c>
      <c r="K64" s="3" t="inlineStr"/>
      <c r="L64" s="13" t="inlineStr">
        <is>
          <t>Pass</t>
        </is>
      </c>
      <c r="M64" s="3" t="inlineStr">
        <is>
          <t>Chromium 1440x900 · mobile 390x844 · tablet 768x1024</t>
        </is>
      </c>
      <c r="N64" s="3" t="inlineStr">
        <is>
          <t>2026-08-25</t>
        </is>
      </c>
      <c r="O64" s="3" t="inlineStr"/>
      <c r="P64" s="3" t="inlineStr">
        <is>
          <t>guest:401 / investor:403 / operator:403 / landlord:403 / admin:200</t>
        </is>
      </c>
      <c r="Q64" s="3" t="inlineStr">
        <is>
          <t>1순위</t>
        </is>
      </c>
    </row>
    <row r="65" ht="30" customHeight="1">
      <c r="A65" s="3" t="n">
        <v>64</v>
      </c>
      <c r="B65" s="3" t="inlineStr">
        <is>
          <t>TC-A01</t>
        </is>
      </c>
      <c r="C65" s="3" t="inlineStr">
        <is>
          <t>1차</t>
        </is>
      </c>
      <c r="D65" s="3" t="inlineStr">
        <is>
          <t>F-13</t>
        </is>
      </c>
      <c r="E65" s="3" t="inlineStr">
        <is>
          <t>/optimization</t>
        </is>
      </c>
      <c r="F65" s="3" t="inlineStr">
        <is>
          <t>예외</t>
        </is>
      </c>
      <c r="G65" s="3" t="inlineStr">
        <is>
          <t>비회원이 생육 레시피·최적화 API 조회</t>
        </is>
      </c>
      <c r="H65" s="3" t="inlineStr">
        <is>
          <t>시드 데이터 기준 상태</t>
        </is>
      </c>
      <c r="I65" s="3" t="inlineStr">
        <is>
          <t>API/브라우저로 직접 실행</t>
        </is>
      </c>
      <c r="J65" s="3" t="inlineStr">
        <is>
          <t>401 Unauthorized (운영자 화면 데이터)</t>
        </is>
      </c>
      <c r="K65" s="3" t="inlineStr"/>
      <c r="L65" s="14" t="inlineStr">
        <is>
          <t>Fail</t>
        </is>
      </c>
      <c r="M65" s="3" t="inlineStr">
        <is>
          <t>Chromium 1440x900 · mobile 390x844 · tablet 768x1024</t>
        </is>
      </c>
      <c r="N65" s="3" t="inlineStr">
        <is>
          <t>2026-08-25</t>
        </is>
      </c>
      <c r="O65" s="3" t="inlineStr">
        <is>
          <t>REQ-005</t>
        </is>
      </c>
      <c r="P65" s="3" t="inlineStr">
        <is>
          <t>200 {"project":{"id":"cmt6qxvrf000pesud96j1e56u","name":"온천장 스마트팜 1호점"},"crop":{"key":"leafy","label":"엽채류(상추)","dliTarget":15},"inputs":{"cropKey":"leafy","tar | 명세 7장: 배정되지 않은 지점의 데이터는 보이지 않는다</t>
        </is>
      </c>
      <c r="Q65" s="3" t="inlineStr">
        <is>
          <t>1순위</t>
        </is>
      </c>
    </row>
    <row r="66" ht="30" customHeight="1">
      <c r="A66" s="3" t="n">
        <v>65</v>
      </c>
      <c r="B66" s="3" t="inlineStr">
        <is>
          <t>TC-A02</t>
        </is>
      </c>
      <c r="C66" s="3" t="inlineStr">
        <is>
          <t>1차</t>
        </is>
      </c>
      <c r="D66" s="3" t="inlineStr">
        <is>
          <t>F-13</t>
        </is>
      </c>
      <c r="E66" s="3" t="inlineStr">
        <is>
          <t>/monitoring</t>
        </is>
      </c>
      <c r="F66" s="3" t="inlineStr">
        <is>
          <t>예외</t>
        </is>
      </c>
      <c r="G66" s="3" t="inlineStr">
        <is>
          <t>비회원이 오늘 할 일 브리핑 API 조회</t>
        </is>
      </c>
      <c r="H66" s="3" t="inlineStr">
        <is>
          <t>시드 데이터 기준 상태</t>
        </is>
      </c>
      <c r="I66" s="3" t="inlineStr">
        <is>
          <t>API/브라우저로 직접 실행</t>
        </is>
      </c>
      <c r="J66" s="3" t="inlineStr">
        <is>
          <t>401 Unauthorized</t>
        </is>
      </c>
      <c r="K66" s="3" t="inlineStr"/>
      <c r="L66" s="14" t="inlineStr">
        <is>
          <t>Fail</t>
        </is>
      </c>
      <c r="M66" s="3" t="inlineStr">
        <is>
          <t>Chromium 1440x900 · mobile 390x844 · tablet 768x1024</t>
        </is>
      </c>
      <c r="N66" s="3" t="inlineStr">
        <is>
          <t>2026-08-25</t>
        </is>
      </c>
      <c r="O66" s="3" t="inlineStr">
        <is>
          <t>REQ-005</t>
        </is>
      </c>
      <c r="P66" s="3" t="inlineStr">
        <is>
          <t>200 {"project":{"id":"cmt6qxvrf000pesud96j1e56u","name":"온천장 스마트팜 1호점"},"generatedAt":"2026-08-24T16:36:28.966Z","briefing":{"items":[{"priority":"high","catego | 발주 수량·수요 예측 등 운영 정보 포함</t>
        </is>
      </c>
      <c r="Q66" s="3" t="inlineStr">
        <is>
          <t>1순위</t>
        </is>
      </c>
    </row>
    <row r="67" ht="30" customHeight="1">
      <c r="A67" s="3" t="n">
        <v>66</v>
      </c>
      <c r="B67" s="3" t="inlineStr">
        <is>
          <t>TC-A03</t>
        </is>
      </c>
      <c r="C67" s="3" t="inlineStr">
        <is>
          <t>1차</t>
        </is>
      </c>
      <c r="D67" s="3" t="inlineStr">
        <is>
          <t>F-12</t>
        </is>
      </c>
      <c r="E67" s="3" t="inlineStr">
        <is>
          <t>O-11</t>
        </is>
      </c>
      <c r="F67" s="3" t="inlineStr">
        <is>
          <t>예외</t>
        </is>
      </c>
      <c r="G67" s="3" t="inlineStr">
        <is>
          <t>투자자 세션으로 마일스톤 증빙 제출</t>
        </is>
      </c>
      <c r="H67" s="3" t="inlineStr">
        <is>
          <t>시드 데이터 기준 상태</t>
        </is>
      </c>
      <c r="I67" s="3" t="inlineStr">
        <is>
          <t>API/브라우저로 직접 실행</t>
        </is>
      </c>
      <c r="J67" s="3" t="inlineStr">
        <is>
          <t>403 운영자만 증빙을 제출할 수 있습니다</t>
        </is>
      </c>
      <c r="K67" s="3" t="inlineStr"/>
      <c r="L67" s="13" t="inlineStr">
        <is>
          <t>Pass</t>
        </is>
      </c>
      <c r="M67" s="3" t="inlineStr">
        <is>
          <t>Chromium 1440x900 · mobile 390x844 · tablet 768x1024</t>
        </is>
      </c>
      <c r="N67" s="3" t="inlineStr">
        <is>
          <t>2026-08-25</t>
        </is>
      </c>
      <c r="O67" s="3" t="inlineStr"/>
      <c r="P67" s="3" t="inlineStr">
        <is>
          <t>403 {"error":"운영자만 증빙을 제출할 수 있습니다."}</t>
        </is>
      </c>
      <c r="Q67" s="3" t="inlineStr">
        <is>
          <t>1순위</t>
        </is>
      </c>
    </row>
    <row r="68" ht="30" customHeight="1">
      <c r="A68" s="3" t="n">
        <v>67</v>
      </c>
      <c r="B68" s="3" t="inlineStr">
        <is>
          <t>TC-A04</t>
        </is>
      </c>
      <c r="C68" s="3" t="inlineStr">
        <is>
          <t>1차</t>
        </is>
      </c>
      <c r="D68" s="3" t="inlineStr">
        <is>
          <t>F-15</t>
        </is>
      </c>
      <c r="E68" s="3" t="inlineStr">
        <is>
          <t>A-07</t>
        </is>
      </c>
      <c r="F68" s="3" t="inlineStr">
        <is>
          <t>예외</t>
        </is>
      </c>
      <c r="G68" s="3" t="inlineStr">
        <is>
          <t>투자자 세션으로 마일스톤 집행(자금 인출) 호출</t>
        </is>
      </c>
      <c r="H68" s="3" t="inlineStr">
        <is>
          <t>시드 데이터 기준 상태</t>
        </is>
      </c>
      <c r="I68" s="3" t="inlineStr">
        <is>
          <t>API/브라우저로 직접 실행</t>
        </is>
      </c>
      <c r="J68" s="3" t="inlineStr">
        <is>
          <t>403 Forbidden</t>
        </is>
      </c>
      <c r="K68" s="3" t="inlineStr"/>
      <c r="L68" s="13" t="inlineStr">
        <is>
          <t>Pass</t>
        </is>
      </c>
      <c r="M68" s="3" t="inlineStr">
        <is>
          <t>Chromium 1440x900 · mobile 390x844 · tablet 768x1024</t>
        </is>
      </c>
      <c r="N68" s="3" t="inlineStr">
        <is>
          <t>2026-08-25</t>
        </is>
      </c>
      <c r="O68" s="3" t="inlineStr"/>
      <c r="P68" s="3" t="inlineStr">
        <is>
          <t>403 {"error":"Forbidden"}</t>
        </is>
      </c>
      <c r="Q68" s="3" t="inlineStr">
        <is>
          <t>1순위</t>
        </is>
      </c>
    </row>
    <row r="69" ht="30" customHeight="1">
      <c r="A69" s="3" t="n">
        <v>68</v>
      </c>
      <c r="B69" s="3" t="inlineStr">
        <is>
          <t>TC-A05</t>
        </is>
      </c>
      <c r="C69" s="3" t="inlineStr">
        <is>
          <t>1차</t>
        </is>
      </c>
      <c r="D69" s="3" t="inlineStr">
        <is>
          <t>F-15</t>
        </is>
      </c>
      <c r="E69" s="3" t="inlineStr">
        <is>
          <t>A-07</t>
        </is>
      </c>
      <c r="F69" s="3" t="inlineStr">
        <is>
          <t>예외</t>
        </is>
      </c>
      <c r="G69" s="3" t="inlineStr">
        <is>
          <t>운영자 세션으로 마일스톤 집행 호출</t>
        </is>
      </c>
      <c r="H69" s="3" t="inlineStr">
        <is>
          <t>시드 데이터 기준 상태</t>
        </is>
      </c>
      <c r="I69" s="3" t="inlineStr">
        <is>
          <t>API/브라우저로 직접 실행</t>
        </is>
      </c>
      <c r="J69" s="3" t="inlineStr">
        <is>
          <t>403 Forbidden (admin 전용)</t>
        </is>
      </c>
      <c r="K69" s="3" t="inlineStr"/>
      <c r="L69" s="13" t="inlineStr">
        <is>
          <t>Pass</t>
        </is>
      </c>
      <c r="M69" s="3" t="inlineStr">
        <is>
          <t>Chromium 1440x900 · mobile 390x844 · tablet 768x1024</t>
        </is>
      </c>
      <c r="N69" s="3" t="inlineStr">
        <is>
          <t>2026-08-25</t>
        </is>
      </c>
      <c r="O69" s="3" t="inlineStr"/>
      <c r="P69" s="3" t="inlineStr">
        <is>
          <t>403 {"error":"Forbidden"}</t>
        </is>
      </c>
      <c r="Q69" s="3" t="inlineStr">
        <is>
          <t>1순위</t>
        </is>
      </c>
    </row>
    <row r="70" ht="30" customHeight="1">
      <c r="A70" s="3" t="n">
        <v>69</v>
      </c>
      <c r="B70" s="3" t="inlineStr">
        <is>
          <t>TC-A06</t>
        </is>
      </c>
      <c r="C70" s="3" t="inlineStr">
        <is>
          <t>1차</t>
        </is>
      </c>
      <c r="D70" s="3" t="inlineStr">
        <is>
          <t>F-16</t>
        </is>
      </c>
      <c r="E70" s="3" t="inlineStr">
        <is>
          <t>감사 로그</t>
        </is>
      </c>
      <c r="F70" s="3" t="inlineStr">
        <is>
          <t>예외</t>
        </is>
      </c>
      <c r="G70" s="3" t="inlineStr">
        <is>
          <t>투자자 세션으로 감사 로그 조회</t>
        </is>
      </c>
      <c r="H70" s="3" t="inlineStr">
        <is>
          <t>시드 데이터 기준 상태</t>
        </is>
      </c>
      <c r="I70" s="3" t="inlineStr">
        <is>
          <t>API/브라우저로 직접 실행</t>
        </is>
      </c>
      <c r="J70" s="3" t="inlineStr">
        <is>
          <t>403 Forbidden</t>
        </is>
      </c>
      <c r="K70" s="3" t="inlineStr"/>
      <c r="L70" s="13" t="inlineStr">
        <is>
          <t>Pass</t>
        </is>
      </c>
      <c r="M70" s="3" t="inlineStr">
        <is>
          <t>Chromium 1440x900 · mobile 390x844 · tablet 768x1024</t>
        </is>
      </c>
      <c r="N70" s="3" t="inlineStr">
        <is>
          <t>2026-08-25</t>
        </is>
      </c>
      <c r="O70" s="3" t="inlineStr"/>
      <c r="P70" s="3" t="inlineStr">
        <is>
          <t>403 {"error":"Forbidden"}</t>
        </is>
      </c>
      <c r="Q70" s="3" t="inlineStr">
        <is>
          <t>1순위</t>
        </is>
      </c>
    </row>
    <row r="71" ht="30" customHeight="1">
      <c r="A71" s="3" t="n">
        <v>70</v>
      </c>
      <c r="B71" s="3" t="inlineStr">
        <is>
          <t>TC-M01</t>
        </is>
      </c>
      <c r="C71" s="3" t="inlineStr">
        <is>
          <t>1차</t>
        </is>
      </c>
      <c r="D71" s="3" t="inlineStr">
        <is>
          <t>F-15</t>
        </is>
      </c>
      <c r="E71" s="3" t="inlineStr">
        <is>
          <t>A-08/A-07</t>
        </is>
      </c>
      <c r="F71" s="3" t="inlineStr">
        <is>
          <t>예외</t>
        </is>
      </c>
      <c r="G71" s="3" t="inlineStr">
        <is>
          <t>승인되지 않은 단계(pending)를 관리자가 집행 요청</t>
        </is>
      </c>
      <c r="H71" s="3" t="inlineStr">
        <is>
          <t>시드 데이터 기준 상태</t>
        </is>
      </c>
      <c r="I71" s="3" t="inlineStr">
        <is>
          <t>API/브라우저로 직접 실행</t>
        </is>
      </c>
      <c r="J71" s="3" t="inlineStr">
        <is>
          <t>400 거부 — 증빙·승인 없이 집행 불가</t>
        </is>
      </c>
      <c r="K71" s="3" t="inlineStr"/>
      <c r="L71" s="13" t="inlineStr">
        <is>
          <t>Pass</t>
        </is>
      </c>
      <c r="M71" s="3" t="inlineStr">
        <is>
          <t>Chromium 1440x900 · mobile 390x844 · tablet 768x1024</t>
        </is>
      </c>
      <c r="N71" s="3" t="inlineStr">
        <is>
          <t>2026-08-25</t>
        </is>
      </c>
      <c r="O71" s="3" t="inlineStr"/>
      <c r="P71" s="3" t="inlineStr">
        <is>
          <t>400 {"error":"증빙이 승인된 단계만 집행할 수 있습니다."} | 명세 18장 권한 인수 테스트 항목</t>
        </is>
      </c>
      <c r="Q71" s="3" t="inlineStr">
        <is>
          <t>1순위</t>
        </is>
      </c>
    </row>
    <row r="72" ht="30" customHeight="1">
      <c r="A72" s="3" t="n">
        <v>71</v>
      </c>
      <c r="B72" s="3" t="inlineStr">
        <is>
          <t>TC-M02</t>
        </is>
      </c>
      <c r="C72" s="3" t="inlineStr">
        <is>
          <t>1차</t>
        </is>
      </c>
      <c r="D72" s="3" t="inlineStr">
        <is>
          <t>F-15</t>
        </is>
      </c>
      <c r="E72" s="3" t="inlineStr">
        <is>
          <t>A-08</t>
        </is>
      </c>
      <c r="F72" s="3" t="inlineStr">
        <is>
          <t>예외</t>
        </is>
      </c>
      <c r="G72" s="3" t="inlineStr">
        <is>
          <t>조건 항목별 판정(items) 없이 승인 시도</t>
        </is>
      </c>
      <c r="H72" s="3" t="inlineStr">
        <is>
          <t>시드 데이터 기준 상태</t>
        </is>
      </c>
      <c r="I72" s="3" t="inlineStr">
        <is>
          <t>API/브라우저로 직접 실행</t>
        </is>
      </c>
      <c r="J72" s="3" t="inlineStr">
        <is>
          <t>400 거부 — 항목 미지정이면 승인 불가</t>
        </is>
      </c>
      <c r="K72" s="3" t="inlineStr"/>
      <c r="L72" s="13" t="inlineStr">
        <is>
          <t>Pass</t>
        </is>
      </c>
      <c r="M72" s="3" t="inlineStr">
        <is>
          <t>Chromium 1440x900 · mobile 390x844 · tablet 768x1024</t>
        </is>
      </c>
      <c r="N72" s="3" t="inlineStr">
        <is>
          <t>2026-08-25</t>
        </is>
      </c>
      <c r="O72" s="3" t="inlineStr"/>
      <c r="P72" s="3" t="inlineStr">
        <is>
          <t>400 {"error":"아직 판정하지 않은 항목이 있습니다 — 계약서 · 영수증 · 현장 사진 · 교차검증"} | 명세 A-08: 한 항목이라도 미지정이면 승인할 수 없다</t>
        </is>
      </c>
      <c r="Q72" s="3" t="inlineStr">
        <is>
          <t>1순위</t>
        </is>
      </c>
    </row>
    <row r="73" ht="30" customHeight="1">
      <c r="A73" s="3" t="n">
        <v>72</v>
      </c>
      <c r="B73" s="3" t="inlineStr">
        <is>
          <t>TC-M03</t>
        </is>
      </c>
      <c r="C73" s="3" t="inlineStr">
        <is>
          <t>1차</t>
        </is>
      </c>
      <c r="D73" s="3" t="inlineStr">
        <is>
          <t>F-12</t>
        </is>
      </c>
      <c r="E73" s="3" t="inlineStr">
        <is>
          <t>O-11</t>
        </is>
      </c>
      <c r="F73" s="3" t="inlineStr">
        <is>
          <t>정상</t>
        </is>
      </c>
      <c r="G73" s="3" t="inlineStr">
        <is>
          <t>배정된 지점의 운영자가 증빙 제출</t>
        </is>
      </c>
      <c r="H73" s="3" t="inlineStr">
        <is>
          <t>시드 데이터 기준 상태</t>
        </is>
      </c>
      <c r="I73" s="3" t="inlineStr">
        <is>
          <t>API/브라우저로 직접 실행</t>
        </is>
      </c>
      <c r="J73" s="3" t="inlineStr">
        <is>
          <t>200 + 상태 evidence_submitted</t>
        </is>
      </c>
      <c r="K73" s="3" t="inlineStr"/>
      <c r="L73" s="13" t="inlineStr">
        <is>
          <t>Pass</t>
        </is>
      </c>
      <c r="M73" s="3" t="inlineStr">
        <is>
          <t>Chromium 1440x900 · mobile 390x844 · tablet 768x1024</t>
        </is>
      </c>
      <c r="N73" s="3" t="inlineStr">
        <is>
          <t>2026-08-25</t>
        </is>
      </c>
      <c r="O73" s="3" t="inlineStr"/>
      <c r="P73" s="3" t="inlineStr">
        <is>
          <t>200 status=evidence_submitted</t>
        </is>
      </c>
      <c r="Q73" s="3" t="inlineStr">
        <is>
          <t>2순위</t>
        </is>
      </c>
    </row>
    <row r="74" ht="30" customHeight="1">
      <c r="A74" s="3" t="n">
        <v>73</v>
      </c>
      <c r="B74" s="3" t="inlineStr">
        <is>
          <t>TC-O01</t>
        </is>
      </c>
      <c r="C74" s="3" t="inlineStr">
        <is>
          <t>1차</t>
        </is>
      </c>
      <c r="D74" s="3" t="inlineStr">
        <is>
          <t>F-12</t>
        </is>
      </c>
      <c r="E74" s="3" t="inlineStr">
        <is>
          <t>O-11</t>
        </is>
      </c>
      <c r="F74" s="3" t="inlineStr">
        <is>
          <t>예외</t>
        </is>
      </c>
      <c r="G74" s="3" t="inlineStr">
        <is>
          <t>배정되지 않은 지점(MF01)의 단계에 다른 운영자가 증빙 제출</t>
        </is>
      </c>
      <c r="H74" s="3" t="inlineStr">
        <is>
          <t>시드 데이터 기준 상태</t>
        </is>
      </c>
      <c r="I74" s="3" t="inlineStr">
        <is>
          <t>API/브라우저로 직접 실행</t>
        </is>
      </c>
      <c r="J74" s="3" t="inlineStr">
        <is>
          <t>403 이 지점의 운영자만 제출할 수 있습니다</t>
        </is>
      </c>
      <c r="K74" s="3" t="inlineStr"/>
      <c r="L74" s="13" t="inlineStr">
        <is>
          <t>Pass</t>
        </is>
      </c>
      <c r="M74" s="3" t="inlineStr">
        <is>
          <t>Chromium 1440x900 · mobile 390x844 · tablet 768x1024</t>
        </is>
      </c>
      <c r="N74" s="3" t="inlineStr">
        <is>
          <t>2026-08-25</t>
        </is>
      </c>
      <c r="O74" s="3" t="inlineStr"/>
      <c r="P74" s="3" t="inlineStr">
        <is>
          <t>403 {"error":"이 지점의 운영자만 제출할 수 있습니다."} | QA 픽스처 운영자 계정 사용 — 리셋으로 제거</t>
        </is>
      </c>
      <c r="Q74" s="3" t="inlineStr">
        <is>
          <t>1순위</t>
        </is>
      </c>
    </row>
    <row r="75" ht="30" customHeight="1">
      <c r="A75" s="3" t="n">
        <v>74</v>
      </c>
      <c r="B75" s="3" t="inlineStr">
        <is>
          <t>TC-O02</t>
        </is>
      </c>
      <c r="C75" s="3" t="inlineStr">
        <is>
          <t>1차</t>
        </is>
      </c>
      <c r="D75" s="3" t="inlineStr">
        <is>
          <t>F-12</t>
        </is>
      </c>
      <c r="E75" s="3" t="inlineStr">
        <is>
          <t>O-11</t>
        </is>
      </c>
      <c r="F75" s="3" t="inlineStr">
        <is>
          <t>예외</t>
        </is>
      </c>
      <c r="G75" s="3" t="inlineStr">
        <is>
          <t>운영자가 배정되지 않은 지점(operatorId 없음)의 단계에 증빙 제출</t>
        </is>
      </c>
      <c r="H75" s="3" t="inlineStr">
        <is>
          <t>시드 데이터 기준 상태</t>
        </is>
      </c>
      <c r="I75" s="3" t="inlineStr">
        <is>
          <t>API/브라우저로 직접 실행</t>
        </is>
      </c>
      <c r="J75" s="3" t="inlineStr">
        <is>
          <t>403 — 배정되지 않은 지점의 증빙은 제출할 수 없다</t>
        </is>
      </c>
      <c r="K75" s="3" t="inlineStr"/>
      <c r="L75" s="14" t="inlineStr">
        <is>
          <t>Fail</t>
        </is>
      </c>
      <c r="M75" s="3" t="inlineStr">
        <is>
          <t>Chromium 1440x900 · mobile 390x844 · tablet 768x1024</t>
        </is>
      </c>
      <c r="N75" s="3" t="inlineStr">
        <is>
          <t>2026-08-25</t>
        </is>
      </c>
      <c r="O75" s="3" t="inlineStr">
        <is>
          <t>REQ-003</t>
        </is>
      </c>
      <c r="P75" s="3" t="inlineStr">
        <is>
          <t>200 {"milestone":{"id":"qa_ms_unassigned","projectId":"qa_proj_unassigned","seq":1,"name":"QA 공간 준비","description":null,"releasePct":3500,"releaseAmount":0,"status":"evidence_submitted","conditionText":null,"requiredSignals":[],"iotMinDays":0,"retryCount":0,"cross | 단계 상태=evidence_submitted | 명세 O-11 마지막 줄</t>
        </is>
      </c>
      <c r="Q75" s="3" t="inlineStr">
        <is>
          <t>1순위</t>
        </is>
      </c>
    </row>
    <row r="76" ht="30" customHeight="1">
      <c r="A76" s="3" t="n">
        <v>75</v>
      </c>
      <c r="B76" s="3" t="inlineStr">
        <is>
          <t>TC-D01</t>
        </is>
      </c>
      <c r="C76" s="3" t="inlineStr">
        <is>
          <t>1차</t>
        </is>
      </c>
      <c r="D76" s="3" t="inlineStr">
        <is>
          <t>F-06</t>
        </is>
      </c>
      <c r="E76" s="3" t="inlineStr">
        <is>
          <t>I-03</t>
        </is>
      </c>
      <c r="F76" s="3" t="inlineStr">
        <is>
          <t>경계</t>
        </is>
      </c>
      <c r="G76" s="3" t="inlineStr">
        <is>
          <t>청약 금액 0원으로 신청</t>
        </is>
      </c>
      <c r="H76" s="3" t="inlineStr">
        <is>
          <t>시드 데이터 기준 상태</t>
        </is>
      </c>
      <c r="I76" s="3" t="inlineStr">
        <is>
          <t>API/브라우저로 직접 실행</t>
        </is>
      </c>
      <c r="J76" s="3" t="inlineStr">
        <is>
          <t>400 신청 금액을 확인해 주세요</t>
        </is>
      </c>
      <c r="K76" s="3" t="inlineStr"/>
      <c r="L76" s="13" t="inlineStr">
        <is>
          <t>Pass</t>
        </is>
      </c>
      <c r="M76" s="3" t="inlineStr">
        <is>
          <t>Chromium 1440x900 · mobile 390x844 · tablet 768x1024</t>
        </is>
      </c>
      <c r="N76" s="3" t="inlineStr">
        <is>
          <t>2026-08-25</t>
        </is>
      </c>
      <c r="O76" s="3" t="inlineStr"/>
      <c r="P76" s="3" t="inlineStr">
        <is>
          <t>400 {"error":"신청 금액을 확인해 주세요."}</t>
        </is>
      </c>
      <c r="Q76" s="3" t="inlineStr">
        <is>
          <t>2순위</t>
        </is>
      </c>
    </row>
    <row r="77" ht="30" customHeight="1">
      <c r="A77" s="3" t="n">
        <v>76</v>
      </c>
      <c r="B77" s="3" t="inlineStr">
        <is>
          <t>TC-D02</t>
        </is>
      </c>
      <c r="C77" s="3" t="inlineStr">
        <is>
          <t>1차</t>
        </is>
      </c>
      <c r="D77" s="3" t="inlineStr">
        <is>
          <t>F-06</t>
        </is>
      </c>
      <c r="E77" s="3" t="inlineStr">
        <is>
          <t>I-03</t>
        </is>
      </c>
      <c r="F77" s="3" t="inlineStr">
        <is>
          <t>정상</t>
        </is>
      </c>
      <c r="G77" s="3" t="inlineStr">
        <is>
          <t>청약 100만원 신청 생성</t>
        </is>
      </c>
      <c r="H77" s="3" t="inlineStr">
        <is>
          <t>시드 데이터 기준 상태</t>
        </is>
      </c>
      <c r="I77" s="3" t="inlineStr">
        <is>
          <t>API/브라우저로 직접 실행</t>
        </is>
      </c>
      <c r="J77" s="3" t="inlineStr">
        <is>
          <t>200 + 신청 생성(DRAFT)</t>
        </is>
      </c>
      <c r="K77" s="3" t="inlineStr"/>
      <c r="L77" s="13" t="inlineStr">
        <is>
          <t>Pass</t>
        </is>
      </c>
      <c r="M77" s="3" t="inlineStr">
        <is>
          <t>Chromium 1440x900 · mobile 390x844 · tablet 768x1024</t>
        </is>
      </c>
      <c r="N77" s="3" t="inlineStr">
        <is>
          <t>2026-08-25</t>
        </is>
      </c>
      <c r="O77" s="3" t="inlineStr"/>
      <c r="P77" s="3" t="inlineStr">
        <is>
          <t>200 id=cmt7gicr2000104l7if5g8per status=DRAFT</t>
        </is>
      </c>
      <c r="Q77" s="3" t="inlineStr">
        <is>
          <t>2순위</t>
        </is>
      </c>
    </row>
    <row r="78" ht="30" customHeight="1">
      <c r="A78" s="3" t="n">
        <v>77</v>
      </c>
      <c r="B78" s="3" t="inlineStr">
        <is>
          <t>TC-D03</t>
        </is>
      </c>
      <c r="C78" s="3" t="inlineStr">
        <is>
          <t>1차</t>
        </is>
      </c>
      <c r="D78" s="3" t="inlineStr">
        <is>
          <t>F-05</t>
        </is>
      </c>
      <c r="E78" s="3" t="inlineStr">
        <is>
          <t>I-02</t>
        </is>
      </c>
      <c r="F78" s="3" t="inlineStr">
        <is>
          <t>정상</t>
        </is>
      </c>
      <c r="G78" s="3" t="inlineStr">
        <is>
          <t>투자 적합성 확인</t>
        </is>
      </c>
      <c r="H78" s="3" t="inlineStr">
        <is>
          <t>시드 데이터 기준 상태</t>
        </is>
      </c>
      <c r="I78" s="3" t="inlineStr">
        <is>
          <t>API/브라우저로 직접 실행</t>
        </is>
      </c>
      <c r="J78" s="3" t="inlineStr">
        <is>
          <t>200 + eligible 판정 + 연간한도 반영</t>
        </is>
      </c>
      <c r="K78" s="3" t="inlineStr"/>
      <c r="L78" s="13" t="inlineStr">
        <is>
          <t>Pass</t>
        </is>
      </c>
      <c r="M78" s="3" t="inlineStr">
        <is>
          <t>Chromium 1440x900 · mobile 390x844 · tablet 768x1024</t>
        </is>
      </c>
      <c r="N78" s="3" t="inlineStr">
        <is>
          <t>2026-08-25</t>
        </is>
      </c>
      <c r="O78" s="3" t="inlineStr"/>
      <c r="P78" s="3" t="inlineStr">
        <is>
          <t>200 {"investment":{"id":"cmt7gicr2000104l7if5g8per","userId":"cmt6qxu8q0009esudda86j6f4","projectId":"cmt6qy0rt04nfesudctnt7vow","status":"ELIGIBILITY_CHECKED","amount":1000000,"units"</t>
        </is>
      </c>
      <c r="Q78" s="3" t="inlineStr">
        <is>
          <t>2순위</t>
        </is>
      </c>
    </row>
    <row r="79" ht="30" customHeight="1">
      <c r="A79" s="3" t="n">
        <v>78</v>
      </c>
      <c r="B79" s="3" t="inlineStr">
        <is>
          <t>TC-D04</t>
        </is>
      </c>
      <c r="C79" s="3" t="inlineStr">
        <is>
          <t>1차</t>
        </is>
      </c>
      <c r="D79" s="3" t="inlineStr">
        <is>
          <t>F-06</t>
        </is>
      </c>
      <c r="E79" s="3" t="inlineStr">
        <is>
          <t>I-03</t>
        </is>
      </c>
      <c r="F79" s="3" t="inlineStr">
        <is>
          <t>정상</t>
        </is>
      </c>
      <c r="G79" s="3" t="inlineStr">
        <is>
          <t>필수 문서 3종 동의 후 계약 전자서명</t>
        </is>
      </c>
      <c r="H79" s="3" t="inlineStr">
        <is>
          <t>시드 데이터 기준 상태</t>
        </is>
      </c>
      <c r="I79" s="3" t="inlineStr">
        <is>
          <t>API/브라우저로 직접 실행</t>
        </is>
      </c>
      <c r="J79" s="3" t="inlineStr">
        <is>
          <t>필수 문서 동의 200 · 계약 동의 200</t>
        </is>
      </c>
      <c r="K79" s="3" t="inlineStr"/>
      <c r="L79" s="13" t="inlineStr">
        <is>
          <t>Pass</t>
        </is>
      </c>
      <c r="M79" s="3" t="inlineStr">
        <is>
          <t>Chromium 1440x900 · mobile 390x844 · tablet 768x1024</t>
        </is>
      </c>
      <c r="N79" s="3" t="inlineStr">
        <is>
          <t>2026-08-25</t>
        </is>
      </c>
      <c r="O79" s="3" t="inlineStr"/>
      <c r="P79" s="3" t="inlineStr">
        <is>
          <t>문서[investment_contract:200 risk_disclosure:200 privacy_consent:200] 계약 200 {"investment":{"id":"cmt7gicr2000104l7if5g8per","userId":"cmt6qxu8q0009esudda86j6f4","projectId":"cmt6qy0rt04nfesudctnt7vow","status":"AWAITING_DEPOSIT","amount":1000000,"units":100,"eligible":true,"eligibilityMemo":"신청 가능합니다.","annualLimit":20000000,"consente</t>
        </is>
      </c>
      <c r="Q79" s="3" t="inlineStr">
        <is>
          <t>2순위</t>
        </is>
      </c>
    </row>
    <row r="80" ht="30" customHeight="1">
      <c r="A80" s="3" t="n">
        <v>79</v>
      </c>
      <c r="B80" s="3" t="inlineStr">
        <is>
          <t>TC-D04B</t>
        </is>
      </c>
      <c r="C80" s="3" t="inlineStr">
        <is>
          <t>1차</t>
        </is>
      </c>
      <c r="D80" s="3" t="inlineStr">
        <is>
          <t>F-06</t>
        </is>
      </c>
      <c r="E80" s="3" t="inlineStr">
        <is>
          <t>I-03</t>
        </is>
      </c>
      <c r="F80" s="3" t="inlineStr">
        <is>
          <t>경계</t>
        </is>
      </c>
      <c r="G80" s="3" t="inlineStr">
        <is>
          <t>서명 없이 계약 동의 시도</t>
        </is>
      </c>
      <c r="H80" s="3" t="inlineStr">
        <is>
          <t>시드 데이터 기준 상태</t>
        </is>
      </c>
      <c r="I80" s="3" t="inlineStr">
        <is>
          <t>API/브라우저로 직접 실행</t>
        </is>
      </c>
      <c r="J80" s="3" t="inlineStr">
        <is>
          <t>400 서명을 입력해 주세요</t>
        </is>
      </c>
      <c r="K80" s="3" t="inlineStr"/>
      <c r="L80" s="13" t="inlineStr">
        <is>
          <t>Pass</t>
        </is>
      </c>
      <c r="M80" s="3" t="inlineStr">
        <is>
          <t>Chromium 1440x900 · mobile 390x844 · tablet 768x1024</t>
        </is>
      </c>
      <c r="N80" s="3" t="inlineStr">
        <is>
          <t>2026-08-25</t>
        </is>
      </c>
      <c r="O80" s="3" t="inlineStr"/>
      <c r="P80" s="3" t="inlineStr">
        <is>
          <t>400 {"error":"서명을 입력해 주세요."}</t>
        </is>
      </c>
      <c r="Q80" s="3" t="inlineStr">
        <is>
          <t>2순위</t>
        </is>
      </c>
    </row>
    <row r="81" ht="30" customHeight="1">
      <c r="A81" s="3" t="n">
        <v>80</v>
      </c>
      <c r="B81" s="3" t="inlineStr">
        <is>
          <t>TC-D05</t>
        </is>
      </c>
      <c r="C81" s="3" t="inlineStr">
        <is>
          <t>1차</t>
        </is>
      </c>
      <c r="D81" s="3" t="inlineStr">
        <is>
          <t>F-06</t>
        </is>
      </c>
      <c r="E81" s="3" t="inlineStr">
        <is>
          <t>I-03</t>
        </is>
      </c>
      <c r="F81" s="3" t="inlineStr">
        <is>
          <t>정상</t>
        </is>
      </c>
      <c r="G81" s="3" t="inlineStr">
        <is>
          <t>건별 가상계좌 발급</t>
        </is>
      </c>
      <c r="H81" s="3" t="inlineStr">
        <is>
          <t>시드 데이터 기준 상태</t>
        </is>
      </c>
      <c r="I81" s="3" t="inlineStr">
        <is>
          <t>API/브라우저로 직접 실행</t>
        </is>
      </c>
      <c r="J81" s="3" t="inlineStr">
        <is>
          <t>200 + 계좌·기한 발급, 신청 AWAITING_DEPOSIT</t>
        </is>
      </c>
      <c r="K81" s="3" t="inlineStr"/>
      <c r="L81" s="13" t="inlineStr">
        <is>
          <t>Pass</t>
        </is>
      </c>
      <c r="M81" s="3" t="inlineStr">
        <is>
          <t>Chromium 1440x900 · mobile 390x844 · tablet 768x1024</t>
        </is>
      </c>
      <c r="N81" s="3" t="inlineStr">
        <is>
          <t>2026-08-25</t>
        </is>
      </c>
      <c r="O81" s="3" t="inlineStr"/>
      <c r="P81" s="3" t="inlineStr">
        <is>
          <t>200 status=AWAITING_DEPOSIT bank=우리은행 | {"virtualAccount":{"bankName":"우리은행","accountNumber":"X6516729718003","holderName":"팜피 투자금 분리보관 계정","amount":1000000,"expiresAt":"2026-08-25T16:36:55.000Z"}}</t>
        </is>
      </c>
      <c r="Q81" s="3" t="inlineStr">
        <is>
          <t>2순위</t>
        </is>
      </c>
    </row>
    <row r="82" ht="30" customHeight="1">
      <c r="A82" s="3" t="n">
        <v>81</v>
      </c>
      <c r="B82" s="3" t="inlineStr">
        <is>
          <t>TC-D06</t>
        </is>
      </c>
      <c r="C82" s="3" t="inlineStr">
        <is>
          <t>1차</t>
        </is>
      </c>
      <c r="D82" s="3" t="inlineStr">
        <is>
          <t>F-07</t>
        </is>
      </c>
      <c r="E82" s="3" t="inlineStr">
        <is>
          <t>웹훅</t>
        </is>
      </c>
      <c r="F82" s="3" t="inlineStr">
        <is>
          <t>예외</t>
        </is>
      </c>
      <c r="G82" s="3" t="inlineStr">
        <is>
          <t>잘못된 secret으로 입금 웹훅 전송</t>
        </is>
      </c>
      <c r="H82" s="3" t="inlineStr">
        <is>
          <t>시드 데이터 기준 상태</t>
        </is>
      </c>
      <c r="I82" s="3" t="inlineStr">
        <is>
          <t>API/브라우저로 직접 실행</t>
        </is>
      </c>
      <c r="J82" s="3" t="inlineStr">
        <is>
          <t>401 Invalid secret</t>
        </is>
      </c>
      <c r="K82" s="3" t="inlineStr"/>
      <c r="L82" s="13" t="inlineStr">
        <is>
          <t>Pass</t>
        </is>
      </c>
      <c r="M82" s="3" t="inlineStr">
        <is>
          <t>Chromium 1440x900 · mobile 390x844 · tablet 768x1024</t>
        </is>
      </c>
      <c r="N82" s="3" t="inlineStr">
        <is>
          <t>2026-08-25</t>
        </is>
      </c>
      <c r="O82" s="3" t="inlineStr"/>
      <c r="P82" s="3" t="inlineStr">
        <is>
          <t>401 {"error":"Invalid secret"}</t>
        </is>
      </c>
      <c r="Q82" s="3" t="inlineStr">
        <is>
          <t>1순위</t>
        </is>
      </c>
    </row>
    <row r="83" ht="30" customHeight="1">
      <c r="A83" s="3" t="n">
        <v>82</v>
      </c>
      <c r="B83" s="3" t="inlineStr">
        <is>
          <t>TC-D07</t>
        </is>
      </c>
      <c r="C83" s="3" t="inlineStr">
        <is>
          <t>1차</t>
        </is>
      </c>
      <c r="D83" s="3" t="inlineStr">
        <is>
          <t>F-07</t>
        </is>
      </c>
      <c r="E83" s="3" t="inlineStr">
        <is>
          <t>웹훅</t>
        </is>
      </c>
      <c r="F83" s="3" t="inlineStr">
        <is>
          <t>예외</t>
        </is>
      </c>
      <c r="G83" s="3" t="inlineStr">
        <is>
          <t>모르는 orderId로 입금 웹훅 전송</t>
        </is>
      </c>
      <c r="H83" s="3" t="inlineStr">
        <is>
          <t>시드 데이터 기준 상태</t>
        </is>
      </c>
      <c r="I83" s="3" t="inlineStr">
        <is>
          <t>API/브라우저로 직접 실행</t>
        </is>
      </c>
      <c r="J83" s="3" t="inlineStr">
        <is>
          <t>200 ignored (재전송 유발 안 함)</t>
        </is>
      </c>
      <c r="K83" s="3" t="inlineStr"/>
      <c r="L83" s="13" t="inlineStr">
        <is>
          <t>Pass</t>
        </is>
      </c>
      <c r="M83" s="3" t="inlineStr">
        <is>
          <t>Chromium 1440x900 · mobile 390x844 · tablet 768x1024</t>
        </is>
      </c>
      <c r="N83" s="3" t="inlineStr">
        <is>
          <t>2026-08-25</t>
        </is>
      </c>
      <c r="O83" s="3" t="inlineStr"/>
      <c r="P83" s="3" t="inlineStr">
        <is>
          <t>200 {"ok":true,"ignored":"unknown_order"}</t>
        </is>
      </c>
      <c r="Q83" s="3" t="inlineStr">
        <is>
          <t>1순위</t>
        </is>
      </c>
    </row>
    <row r="84" ht="30" customHeight="1">
      <c r="A84" s="3" t="n">
        <v>83</v>
      </c>
      <c r="B84" s="3" t="inlineStr">
        <is>
          <t>TC-D08</t>
        </is>
      </c>
      <c r="C84" s="3" t="inlineStr">
        <is>
          <t>1차</t>
        </is>
      </c>
      <c r="D84" s="3" t="inlineStr">
        <is>
          <t>F-06</t>
        </is>
      </c>
      <c r="E84" s="3" t="inlineStr">
        <is>
          <t>I-03</t>
        </is>
      </c>
      <c r="F84" s="3" t="inlineStr">
        <is>
          <t>정상</t>
        </is>
      </c>
      <c r="G84" s="3" t="inlineStr">
        <is>
          <t>입금 웹훅 1회 → 입금 확정·보유 구좌 발행</t>
        </is>
      </c>
      <c r="H84" s="3" t="inlineStr">
        <is>
          <t>시드 데이터 기준 상태</t>
        </is>
      </c>
      <c r="I84" s="3" t="inlineStr">
        <is>
          <t>API/브라우저로 직접 실행</t>
        </is>
      </c>
      <c r="J84" s="3" t="inlineStr">
        <is>
          <t>200 + Investment DEPOSIT_CONFIRMED 이상, DepositEvent 1건, 발행 1건</t>
        </is>
      </c>
      <c r="K84" s="3" t="inlineStr"/>
      <c r="L84" s="13" t="inlineStr">
        <is>
          <t>Pass</t>
        </is>
      </c>
      <c r="M84" s="3" t="inlineStr">
        <is>
          <t>Chromium 1440x900 · mobile 390x844 · tablet 768x1024</t>
        </is>
      </c>
      <c r="N84" s="3" t="inlineStr">
        <is>
          <t>2026-08-25</t>
        </is>
      </c>
      <c r="O84" s="3" t="inlineStr"/>
      <c r="P84" s="3" t="inlineStr">
        <is>
          <t>200 {"ok":true,"outcome":"CONFIRMED"} | DepositEvent=1 발행=1 status=COMPLETED</t>
        </is>
      </c>
      <c r="Q84" s="3" t="inlineStr">
        <is>
          <t>2순위</t>
        </is>
      </c>
    </row>
    <row r="85" ht="30" customHeight="1">
      <c r="A85" s="3" t="n">
        <v>84</v>
      </c>
      <c r="B85" s="3" t="inlineStr">
        <is>
          <t>TC-D09</t>
        </is>
      </c>
      <c r="C85" s="3" t="inlineStr">
        <is>
          <t>1차</t>
        </is>
      </c>
      <c r="D85" s="3" t="inlineStr">
        <is>
          <t>F-06</t>
        </is>
      </c>
      <c r="E85" s="3" t="inlineStr">
        <is>
          <t>I-03</t>
        </is>
      </c>
      <c r="F85" s="3" t="inlineStr">
        <is>
          <t>예외</t>
        </is>
      </c>
      <c r="G85" s="3" t="inlineStr">
        <is>
          <t>★ 같은 입금 웹훅 재전송(순차) — 중복 반영 여부</t>
        </is>
      </c>
      <c r="H85" s="3" t="inlineStr">
        <is>
          <t>시드 데이터 기준 상태</t>
        </is>
      </c>
      <c r="I85" s="3" t="inlineStr">
        <is>
          <t>API/브라우저로 직접 실행</t>
        </is>
      </c>
      <c r="J85" s="3" t="inlineStr">
        <is>
          <t>투자금 1회만 반영 · DepositEvent·발행 건수 불변</t>
        </is>
      </c>
      <c r="K85" s="3" t="inlineStr"/>
      <c r="L85" s="13" t="inlineStr">
        <is>
          <t>Pass</t>
        </is>
      </c>
      <c r="M85" s="3" t="inlineStr">
        <is>
          <t>Chromium 1440x900 · mobile 390x844 · tablet 768x1024</t>
        </is>
      </c>
      <c r="N85" s="3" t="inlineStr">
        <is>
          <t>2026-08-25</t>
        </is>
      </c>
      <c r="O85" s="3" t="inlineStr"/>
      <c r="P85" s="3" t="inlineStr">
        <is>
          <t>200 DepositEvent 1→1 발행 1→1 확정액 1000000→1000000 | 명세 18장 투자자 인수 테스트</t>
        </is>
      </c>
      <c r="Q85" s="3" t="inlineStr">
        <is>
          <t>1순위</t>
        </is>
      </c>
    </row>
    <row r="86" ht="30" customHeight="1">
      <c r="A86" s="3" t="n">
        <v>85</v>
      </c>
      <c r="B86" s="3" t="inlineStr">
        <is>
          <t>TC-D10</t>
        </is>
      </c>
      <c r="C86" s="3" t="inlineStr">
        <is>
          <t>1차</t>
        </is>
      </c>
      <c r="D86" s="3" t="inlineStr">
        <is>
          <t>F-06</t>
        </is>
      </c>
      <c r="E86" s="3" t="inlineStr">
        <is>
          <t>I-03</t>
        </is>
      </c>
      <c r="F86" s="3" t="inlineStr">
        <is>
          <t>예외</t>
        </is>
      </c>
      <c r="G86" s="3" t="inlineStr">
        <is>
          <t>★ 같은 입금 웹훅 동시 3발(경합) — 중복 반영·5xx 여부</t>
        </is>
      </c>
      <c r="H86" s="3" t="inlineStr">
        <is>
          <t>시드 데이터 기준 상태</t>
        </is>
      </c>
      <c r="I86" s="3" t="inlineStr">
        <is>
          <t>API/브라우저로 직접 실행</t>
        </is>
      </c>
      <c r="J86" s="3" t="inlineStr">
        <is>
          <t>건수 불변 · 5xx 없음</t>
        </is>
      </c>
      <c r="K86" s="3" t="inlineStr"/>
      <c r="L86" s="13" t="inlineStr">
        <is>
          <t>Pass</t>
        </is>
      </c>
      <c r="M86" s="3" t="inlineStr">
        <is>
          <t>Chromium 1440x900 · mobile 390x844 · tablet 768x1024</t>
        </is>
      </c>
      <c r="N86" s="3" t="inlineStr">
        <is>
          <t>2026-08-25</t>
        </is>
      </c>
      <c r="O86" s="3" t="inlineStr"/>
      <c r="P86" s="3" t="inlineStr">
        <is>
          <t>codes=200,200,200 DepositEvent 1→1 발행 1→1 | confirmBankDeposit의 findUnique→create 사이 경합 확인</t>
        </is>
      </c>
      <c r="Q86" s="3" t="inlineStr">
        <is>
          <t>1순위</t>
        </is>
      </c>
    </row>
    <row r="87" ht="30" customHeight="1">
      <c r="A87" s="3" t="n">
        <v>86</v>
      </c>
      <c r="B87" s="3" t="inlineStr">
        <is>
          <t>TC-D11</t>
        </is>
      </c>
      <c r="C87" s="3" t="inlineStr">
        <is>
          <t>1차</t>
        </is>
      </c>
      <c r="D87" s="3" t="inlineStr">
        <is>
          <t>F-06</t>
        </is>
      </c>
      <c r="E87" s="3" t="inlineStr">
        <is>
          <t>I-03</t>
        </is>
      </c>
      <c r="F87" s="3" t="inlineStr">
        <is>
          <t>예외</t>
        </is>
      </c>
      <c r="G87" s="3" t="inlineStr">
        <is>
          <t>다른 거래키로 같은 계좌에 두 번째 입금</t>
        </is>
      </c>
      <c r="H87" s="3" t="inlineStr">
        <is>
          <t>시드 데이터 기준 상태</t>
        </is>
      </c>
      <c r="I87" s="3" t="inlineStr">
        <is>
          <t>API/브라우저로 직접 실행</t>
        </is>
      </c>
      <c r="J87" s="3" t="inlineStr">
        <is>
          <t>이미 납입된 계좌 — 중복 발행 없음</t>
        </is>
      </c>
      <c r="K87" s="3" t="inlineStr"/>
      <c r="L87" s="14" t="inlineStr">
        <is>
          <t>Fail</t>
        </is>
      </c>
      <c r="M87" s="3" t="inlineStr">
        <is>
          <t>Chromium 1440x900 · mobile 390x844 · tablet 768x1024</t>
        </is>
      </c>
      <c r="N87" s="3" t="inlineStr">
        <is>
          <t>2026-08-25</t>
        </is>
      </c>
      <c r="O87" s="3" t="inlineStr">
        <is>
          <t>REQ-001</t>
        </is>
      </c>
      <c r="P87" s="3" t="inlineStr">
        <is>
          <t>200 {"ok":true,"outcome":"CONFIRMED"} | 발행 1→2</t>
        </is>
      </c>
      <c r="Q87" s="3" t="inlineStr">
        <is>
          <t>1순위</t>
        </is>
      </c>
    </row>
    <row r="88" ht="30" customHeight="1">
      <c r="A88" s="3" t="n">
        <v>87</v>
      </c>
      <c r="B88" s="3" t="inlineStr">
        <is>
          <t>TC-D12</t>
        </is>
      </c>
      <c r="C88" s="3" t="inlineStr">
        <is>
          <t>1차</t>
        </is>
      </c>
      <c r="D88" s="3" t="inlineStr">
        <is>
          <t>F-05</t>
        </is>
      </c>
      <c r="E88" s="3" t="inlineStr">
        <is>
          <t>I-02/I-02E</t>
        </is>
      </c>
      <c r="F88" s="3" t="inlineStr">
        <is>
          <t>경계</t>
        </is>
      </c>
      <c r="G88" s="3" t="inlineStr">
        <is>
          <t>연간한도(2,000만원) 초과 2,500만원으로 적합성 확인</t>
        </is>
      </c>
      <c r="H88" s="3" t="inlineStr">
        <is>
          <t>시드 데이터 기준 상태</t>
        </is>
      </c>
      <c r="I88" s="3" t="inlineStr">
        <is>
          <t>API/브라우저로 직접 실행</t>
        </is>
      </c>
      <c r="J88" s="3" t="inlineStr">
        <is>
          <t>eligible=false + 사유 표시 + 진행 차단 상태</t>
        </is>
      </c>
      <c r="K88" s="3" t="inlineStr"/>
      <c r="L88" s="13" t="inlineStr">
        <is>
          <t>Pass</t>
        </is>
      </c>
      <c r="M88" s="3" t="inlineStr">
        <is>
          <t>Chromium 1440x900 · mobile 390x844 · tablet 768x1024</t>
        </is>
      </c>
      <c r="N88" s="3" t="inlineStr">
        <is>
          <t>2026-08-25</t>
        </is>
      </c>
      <c r="O88" s="3" t="inlineStr"/>
      <c r="P88" s="3" t="inlineStr">
        <is>
          <t>eligible=false status=IDENTITY_REQUIRED memo=남은 모집 물량보다 신청 금액이 큽니다.</t>
        </is>
      </c>
      <c r="Q88" s="3" t="inlineStr">
        <is>
          <t>2순위</t>
        </is>
      </c>
    </row>
    <row r="89" ht="30" customHeight="1">
      <c r="A89" s="3" t="n">
        <v>88</v>
      </c>
      <c r="B89" s="3" t="inlineStr">
        <is>
          <t>TC-B01</t>
        </is>
      </c>
      <c r="C89" s="3" t="inlineStr">
        <is>
          <t>1차</t>
        </is>
      </c>
      <c r="D89" s="3" t="inlineStr">
        <is>
          <t>F-09</t>
        </is>
      </c>
      <c r="E89" s="3" t="inlineStr">
        <is>
          <t>B-01</t>
        </is>
      </c>
      <c r="F89" s="3" t="inlineStr">
        <is>
          <t>정상</t>
        </is>
      </c>
      <c r="G89" s="3" t="inlineStr">
        <is>
          <t>지점 미선택 상태로 카탈로그 조회</t>
        </is>
      </c>
      <c r="H89" s="3" t="inlineStr">
        <is>
          <t>시드 데이터 기준 상태</t>
        </is>
      </c>
      <c r="I89" s="3" t="inlineStr">
        <is>
          <t>API/브라우저로 직접 실행</t>
        </is>
      </c>
      <c r="J89" s="3" t="inlineStr">
        <is>
          <t>픽업 지점 목록만 반환, 작물 목록은 비어 있음 (지점 먼저 선택)</t>
        </is>
      </c>
      <c r="K89" s="3" t="inlineStr"/>
      <c r="L89" s="13" t="inlineStr">
        <is>
          <t>Pass</t>
        </is>
      </c>
      <c r="M89" s="3" t="inlineStr">
        <is>
          <t>Chromium 1440x900 · mobile 390x844 · tablet 768x1024</t>
        </is>
      </c>
      <c r="N89" s="3" t="inlineStr">
        <is>
          <t>2026-08-25</t>
        </is>
      </c>
      <c r="O89" s="3" t="inlineStr"/>
      <c r="P89" s="3" t="inlineStr">
        <is>
          <t>200 지점 2개 · 작물 0개 | 명세 B-01: 지점을 먼저 선택해야 다음 화면의 재고를 조회한다</t>
        </is>
      </c>
      <c r="Q89" s="3" t="inlineStr">
        <is>
          <t>2순위</t>
        </is>
      </c>
    </row>
    <row r="90" ht="30" customHeight="1">
      <c r="A90" s="3" t="n">
        <v>89</v>
      </c>
      <c r="B90" s="3" t="inlineStr">
        <is>
          <t>TC-B02</t>
        </is>
      </c>
      <c r="C90" s="3" t="inlineStr">
        <is>
          <t>1차</t>
        </is>
      </c>
      <c r="D90" s="3" t="inlineStr">
        <is>
          <t>F-09</t>
        </is>
      </c>
      <c r="E90" s="3" t="inlineStr">
        <is>
          <t>B-03</t>
        </is>
      </c>
      <c r="F90" s="3" t="inlineStr">
        <is>
          <t>정상</t>
        </is>
      </c>
      <c r="G90" s="3" t="inlineStr">
        <is>
          <t>지점 선택 후 해당 지점 재고 기반 작물 조회</t>
        </is>
      </c>
      <c r="H90" s="3" t="inlineStr">
        <is>
          <t>시드 데이터 기준 상태</t>
        </is>
      </c>
      <c r="I90" s="3" t="inlineStr">
        <is>
          <t>API/브라우저로 직접 실행</t>
        </is>
      </c>
      <c r="J90" s="3" t="inlineStr">
        <is>
          <t>선택 지점이 보유·재배하는 작물만 반환</t>
        </is>
      </c>
      <c r="K90" s="3" t="inlineStr"/>
      <c r="L90" s="13" t="inlineStr">
        <is>
          <t>Pass</t>
        </is>
      </c>
      <c r="M90" s="3" t="inlineStr">
        <is>
          <t>Chromium 1440x900 · mobile 390x844 · tablet 768x1024</t>
        </is>
      </c>
      <c r="N90" s="3" t="inlineStr">
        <is>
          <t>2026-08-25</t>
        </is>
      </c>
      <c r="O90" s="3" t="inlineStr"/>
      <c r="P90" s="3" t="inlineStr">
        <is>
          <t>200 작물 3개 (구매가능 3개)</t>
        </is>
      </c>
      <c r="Q90" s="3" t="inlineStr">
        <is>
          <t>2순위</t>
        </is>
      </c>
    </row>
    <row r="91" ht="30" customHeight="1">
      <c r="A91" s="3" t="n">
        <v>90</v>
      </c>
      <c r="B91" s="3" t="inlineStr">
        <is>
          <t>TC-B03</t>
        </is>
      </c>
      <c r="C91" s="3" t="inlineStr">
        <is>
          <t>1차</t>
        </is>
      </c>
      <c r="D91" s="3" t="inlineStr">
        <is>
          <t>F-09</t>
        </is>
      </c>
      <c r="E91" s="3" t="inlineStr">
        <is>
          <t>B-03</t>
        </is>
      </c>
      <c r="F91" s="3" t="inlineStr">
        <is>
          <t>경계</t>
        </is>
      </c>
      <c r="G91" s="3" t="inlineStr">
        <is>
          <t>3종 팩에 작물 2종만 선택</t>
        </is>
      </c>
      <c r="H91" s="3" t="inlineStr">
        <is>
          <t>시드 데이터 기준 상태</t>
        </is>
      </c>
      <c r="I91" s="3" t="inlineStr">
        <is>
          <t>API/브라우저로 직접 실행</t>
        </is>
      </c>
      <c r="J91" s="3" t="inlineStr">
        <is>
          <t>400 작물 3종을 골라 주세요</t>
        </is>
      </c>
      <c r="K91" s="3" t="inlineStr"/>
      <c r="L91" s="13" t="inlineStr">
        <is>
          <t>Pass</t>
        </is>
      </c>
      <c r="M91" s="3" t="inlineStr">
        <is>
          <t>Chromium 1440x900 · mobile 390x844 · tablet 768x1024</t>
        </is>
      </c>
      <c r="N91" s="3" t="inlineStr">
        <is>
          <t>2026-08-25</t>
        </is>
      </c>
      <c r="O91" s="3" t="inlineStr"/>
      <c r="P91" s="3" t="inlineStr">
        <is>
          <t>400 {"error":"작물 3종을 골라 주세요."}</t>
        </is>
      </c>
      <c r="Q91" s="3" t="inlineStr">
        <is>
          <t>2순위</t>
        </is>
      </c>
    </row>
    <row r="92" ht="30" customHeight="1">
      <c r="A92" s="3" t="n">
        <v>91</v>
      </c>
      <c r="B92" s="3" t="inlineStr">
        <is>
          <t>TC-B04</t>
        </is>
      </c>
      <c r="C92" s="3" t="inlineStr">
        <is>
          <t>1차</t>
        </is>
      </c>
      <c r="D92" s="3" t="inlineStr">
        <is>
          <t>F-09</t>
        </is>
      </c>
      <c r="E92" s="3" t="inlineStr">
        <is>
          <t>B-03</t>
        </is>
      </c>
      <c r="F92" s="3" t="inlineStr">
        <is>
          <t>경계</t>
        </is>
      </c>
      <c r="G92" s="3" t="inlineStr">
        <is>
          <t>드레싱 1봉만 선택 (규정 2봉)</t>
        </is>
      </c>
      <c r="H92" s="3" t="inlineStr">
        <is>
          <t>시드 데이터 기준 상태</t>
        </is>
      </c>
      <c r="I92" s="3" t="inlineStr">
        <is>
          <t>API/브라우저로 직접 실행</t>
        </is>
      </c>
      <c r="J92" s="3" t="inlineStr">
        <is>
          <t>400 드레싱 2봉을 골라 주세요</t>
        </is>
      </c>
      <c r="K92" s="3" t="inlineStr"/>
      <c r="L92" s="13" t="inlineStr">
        <is>
          <t>Pass</t>
        </is>
      </c>
      <c r="M92" s="3" t="inlineStr">
        <is>
          <t>Chromium 1440x900 · mobile 390x844 · tablet 768x1024</t>
        </is>
      </c>
      <c r="N92" s="3" t="inlineStr">
        <is>
          <t>2026-08-25</t>
        </is>
      </c>
      <c r="O92" s="3" t="inlineStr"/>
      <c r="P92" s="3" t="inlineStr">
        <is>
          <t>400 {"error":"드레싱 2봉을 골라 주세요."}</t>
        </is>
      </c>
      <c r="Q92" s="3" t="inlineStr">
        <is>
          <t>2순위</t>
        </is>
      </c>
    </row>
    <row r="93" ht="30" customHeight="1">
      <c r="A93" s="3" t="n">
        <v>92</v>
      </c>
      <c r="B93" s="3" t="inlineStr">
        <is>
          <t>TC-B05</t>
        </is>
      </c>
      <c r="C93" s="3" t="inlineStr">
        <is>
          <t>1차</t>
        </is>
      </c>
      <c r="D93" s="3" t="inlineStr">
        <is>
          <t>F-09</t>
        </is>
      </c>
      <c r="E93" s="3" t="inlineStr">
        <is>
          <t>B-02</t>
        </is>
      </c>
      <c r="F93" s="3" t="inlineStr">
        <is>
          <t>경계</t>
        </is>
      </c>
      <c r="G93" s="3" t="inlineStr">
        <is>
          <t>허용되지 않은 수령 주기(주 9회)</t>
        </is>
      </c>
      <c r="H93" s="3" t="inlineStr">
        <is>
          <t>시드 데이터 기준 상태</t>
        </is>
      </c>
      <c r="I93" s="3" t="inlineStr">
        <is>
          <t>API/브라우저로 직접 실행</t>
        </is>
      </c>
      <c r="J93" s="3" t="inlineStr">
        <is>
          <t>400 수령 주기를 골라 주세요</t>
        </is>
      </c>
      <c r="K93" s="3" t="inlineStr"/>
      <c r="L93" s="13" t="inlineStr">
        <is>
          <t>Pass</t>
        </is>
      </c>
      <c r="M93" s="3" t="inlineStr">
        <is>
          <t>Chromium 1440x900 · mobile 390x844 · tablet 768x1024</t>
        </is>
      </c>
      <c r="N93" s="3" t="inlineStr">
        <is>
          <t>2026-08-25</t>
        </is>
      </c>
      <c r="O93" s="3" t="inlineStr"/>
      <c r="P93" s="3" t="inlineStr">
        <is>
          <t>400 {"error":"수령 주기를 골라 주세요."}</t>
        </is>
      </c>
      <c r="Q93" s="3" t="inlineStr">
        <is>
          <t>2순위</t>
        </is>
      </c>
    </row>
    <row r="94" ht="30" customHeight="1">
      <c r="A94" s="3" t="n">
        <v>93</v>
      </c>
      <c r="B94" s="3" t="inlineStr">
        <is>
          <t>TC-B06</t>
        </is>
      </c>
      <c r="C94" s="3" t="inlineStr">
        <is>
          <t>1차</t>
        </is>
      </c>
      <c r="D94" s="3" t="inlineStr">
        <is>
          <t>F-09</t>
        </is>
      </c>
      <c r="E94" s="3" t="inlineStr">
        <is>
          <t>B-04/B-06</t>
        </is>
      </c>
      <c r="F94" s="3" t="inlineStr">
        <is>
          <t>정상</t>
        </is>
      </c>
      <c r="G94" s="3" t="inlineStr">
        <is>
          <t>정상 구성으로 정기구독 신청</t>
        </is>
      </c>
      <c r="H94" s="3" t="inlineStr">
        <is>
          <t>시드 데이터 기준 상태</t>
        </is>
      </c>
      <c r="I94" s="3" t="inlineStr">
        <is>
          <t>API/브라우저로 직접 실행</t>
        </is>
      </c>
      <c r="J94" s="3" t="inlineStr">
        <is>
          <t>200 + 구독 생성·다음 픽업 안내</t>
        </is>
      </c>
      <c r="K94" s="3" t="inlineStr"/>
      <c r="L94" s="13" t="inlineStr">
        <is>
          <t>Pass</t>
        </is>
      </c>
      <c r="M94" s="3" t="inlineStr">
        <is>
          <t>Chromium 1440x900 · mobile 390x844 · tablet 768x1024</t>
        </is>
      </c>
      <c r="N94" s="3" t="inlineStr">
        <is>
          <t>2026-08-25</t>
        </is>
      </c>
      <c r="O94" s="3" t="inlineStr"/>
      <c r="P94" s="3" t="inlineStr">
        <is>
          <t>200 {"subscription":{"id":"cmt7gpkyb000604l99r27qoi9","userId":"cmt6qxua2000aesudro9pv9l9","projectId":"cmt6qxvrf000pesud96j1e56u","packSize":3,"perWeek":1,"productIds":["cmt6qxutw000lesud6hs7iq17","cmt6qxuv9000mesudwzrbh2ct","cmt6qxuwl000nesud</t>
        </is>
      </c>
      <c r="Q94" s="3" t="inlineStr">
        <is>
          <t>2순위</t>
        </is>
      </c>
    </row>
    <row r="95" ht="30" customHeight="1">
      <c r="A95" s="3" t="n">
        <v>94</v>
      </c>
      <c r="B95" s="3" t="inlineStr">
        <is>
          <t>TC-B07</t>
        </is>
      </c>
      <c r="C95" s="3" t="inlineStr">
        <is>
          <t>1차</t>
        </is>
      </c>
      <c r="D95" s="3" t="inlineStr">
        <is>
          <t>F-09</t>
        </is>
      </c>
      <c r="E95" s="3" t="inlineStr">
        <is>
          <t>B-04</t>
        </is>
      </c>
      <c r="F95" s="3" t="inlineStr">
        <is>
          <t>예외</t>
        </is>
      </c>
      <c r="G95" s="3" t="inlineStr">
        <is>
          <t>비회원이 정기구독 신청</t>
        </is>
      </c>
      <c r="H95" s="3" t="inlineStr">
        <is>
          <t>시드 데이터 기준 상태</t>
        </is>
      </c>
      <c r="I95" s="3" t="inlineStr">
        <is>
          <t>API/브라우저로 직접 실행</t>
        </is>
      </c>
      <c r="J95" s="3" t="inlineStr">
        <is>
          <t>401 Unauthorized</t>
        </is>
      </c>
      <c r="K95" s="3" t="inlineStr"/>
      <c r="L95" s="13" t="inlineStr">
        <is>
          <t>Pass</t>
        </is>
      </c>
      <c r="M95" s="3" t="inlineStr">
        <is>
          <t>Chromium 1440x900 · mobile 390x844 · tablet 768x1024</t>
        </is>
      </c>
      <c r="N95" s="3" t="inlineStr">
        <is>
          <t>2026-08-25</t>
        </is>
      </c>
      <c r="O95" s="3" t="inlineStr"/>
      <c r="P95" s="3" t="inlineStr">
        <is>
          <t>401 {"error":"Unauthorized"}</t>
        </is>
      </c>
      <c r="Q95" s="3" t="inlineStr">
        <is>
          <t>1순위</t>
        </is>
      </c>
    </row>
    <row r="96" ht="30" customHeight="1">
      <c r="A96" s="3" t="n">
        <v>95</v>
      </c>
      <c r="B96" s="3" t="inlineStr">
        <is>
          <t>TC-S01</t>
        </is>
      </c>
      <c r="C96" s="3" t="inlineStr">
        <is>
          <t>1차</t>
        </is>
      </c>
      <c r="D96" s="3" t="inlineStr">
        <is>
          <t>F-06</t>
        </is>
      </c>
      <c r="E96" s="3" t="inlineStr">
        <is>
          <t>I-03</t>
        </is>
      </c>
      <c r="F96" s="3" t="inlineStr">
        <is>
          <t>예외</t>
        </is>
      </c>
      <c r="G96" s="3" t="inlineStr">
        <is>
          <t>적합성·계약동의·가상계좌 납입을 건너뛰고 /api/subscribe 직접 호출</t>
        </is>
      </c>
      <c r="H96" s="3" t="inlineStr">
        <is>
          <t>시드 데이터 기준 상태</t>
        </is>
      </c>
      <c r="I96" s="3" t="inlineStr">
        <is>
          <t>API/브라우저로 직접 실행</t>
        </is>
      </c>
      <c r="J96" s="3" t="inlineStr">
        <is>
          <t>거부 — 명세 I-03의 동의·납입 게이트를 통과해야 보유 구좌가 생긴다</t>
        </is>
      </c>
      <c r="K96" s="3" t="inlineStr"/>
      <c r="L96" s="14" t="inlineStr">
        <is>
          <t>Fail</t>
        </is>
      </c>
      <c r="M96" s="3" t="inlineStr">
        <is>
          <t>Chromium 1440x900 · mobile 390x844 · tablet 768x1024</t>
        </is>
      </c>
      <c r="N96" s="3" t="inlineStr">
        <is>
          <t>2026-08-25</t>
        </is>
      </c>
      <c r="O96" s="3" t="inlineStr">
        <is>
          <t>REQ-002</t>
        </is>
      </c>
      <c r="P96" s="3" t="inlineStr">
        <is>
          <t>200 {"success":true,"transaction":{"txHash":null,"amount":50000,"tokenAmount":5}} | 보유 1080→1085 | 명세 I-03: 동의 → AWAITING_DEPOSIT → 은행 웹훅 → 발행</t>
        </is>
      </c>
      <c r="Q96" s="3" t="inlineStr">
        <is>
          <t>1순위</t>
        </is>
      </c>
    </row>
    <row r="97" ht="30" customHeight="1">
      <c r="A97" s="3" t="n">
        <v>96</v>
      </c>
      <c r="B97" s="3" t="inlineStr">
        <is>
          <t>TC-R01</t>
        </is>
      </c>
      <c r="C97" s="3" t="inlineStr">
        <is>
          <t>1차</t>
        </is>
      </c>
      <c r="D97" s="3" t="inlineStr">
        <is>
          <t>F-18</t>
        </is>
      </c>
      <c r="E97" s="3" t="inlineStr">
        <is>
          <t>공통</t>
        </is>
      </c>
      <c r="F97" s="3" t="inlineStr">
        <is>
          <t>경계</t>
        </is>
      </c>
      <c r="G97" s="3" t="inlineStr">
        <is>
          <t>mobile 뷰포트(390px)에서 주요 5화면 가로 스크롤 발생 여부</t>
        </is>
      </c>
      <c r="H97" s="3" t="inlineStr">
        <is>
          <t>시드 데이터 기준 상태</t>
        </is>
      </c>
      <c r="I97" s="3" t="inlineStr">
        <is>
          <t>API/브라우저로 직접 실행</t>
        </is>
      </c>
      <c r="J97" s="3" t="inlineStr">
        <is>
          <t>문서 폭이 뷰포트를 넘지 않음</t>
        </is>
      </c>
      <c r="K97" s="3" t="inlineStr"/>
      <c r="L97" s="14" t="inlineStr">
        <is>
          <t>Fail</t>
        </is>
      </c>
      <c r="M97" s="3" t="inlineStr">
        <is>
          <t>Chromium 1440x900 · mobile 390x844 · tablet 768x1024</t>
        </is>
      </c>
      <c r="N97" s="3" t="inlineStr">
        <is>
          <t>2026-08-25</t>
        </is>
      </c>
      <c r="O97" s="3" t="inlineStr">
        <is>
          <t>REQ-006</t>
        </is>
      </c>
      <c r="P97" s="3" t="inlineStr">
        <is>
          <t>가로 넘침: /(1010px), /projects(568px), /subscribe(546px), /about(627px)</t>
        </is>
      </c>
      <c r="Q97" s="3" t="inlineStr">
        <is>
          <t>2순위</t>
        </is>
      </c>
    </row>
    <row r="98" ht="30" customHeight="1">
      <c r="A98" s="3" t="n">
        <v>97</v>
      </c>
      <c r="B98" s="3" t="inlineStr">
        <is>
          <t>TC-R02</t>
        </is>
      </c>
      <c r="C98" s="3" t="inlineStr">
        <is>
          <t>1차</t>
        </is>
      </c>
      <c r="D98" s="3" t="inlineStr">
        <is>
          <t>F-18</t>
        </is>
      </c>
      <c r="E98" s="3" t="inlineStr">
        <is>
          <t>공통</t>
        </is>
      </c>
      <c r="F98" s="3" t="inlineStr">
        <is>
          <t>경계</t>
        </is>
      </c>
      <c r="G98" s="3" t="inlineStr">
        <is>
          <t>tablet 뷰포트(768px)에서 주요 5화면 가로 스크롤 발생 여부</t>
        </is>
      </c>
      <c r="H98" s="3" t="inlineStr">
        <is>
          <t>시드 데이터 기준 상태</t>
        </is>
      </c>
      <c r="I98" s="3" t="inlineStr">
        <is>
          <t>API/브라우저로 직접 실행</t>
        </is>
      </c>
      <c r="J98" s="3" t="inlineStr">
        <is>
          <t>문서 폭이 뷰포트를 넘지 않음</t>
        </is>
      </c>
      <c r="K98" s="3" t="inlineStr"/>
      <c r="L98" s="14" t="inlineStr">
        <is>
          <t>Fail</t>
        </is>
      </c>
      <c r="M98" s="3" t="inlineStr">
        <is>
          <t>Chromium 1440x900 · mobile 390x844 · tablet 768x1024</t>
        </is>
      </c>
      <c r="N98" s="3" t="inlineStr">
        <is>
          <t>2026-08-25</t>
        </is>
      </c>
      <c r="O98" s="3" t="inlineStr">
        <is>
          <t>REQ-006</t>
        </is>
      </c>
      <c r="P98" s="3" t="inlineStr">
        <is>
          <t>가로 넘침: /(1010px)</t>
        </is>
      </c>
      <c r="Q98" s="3" t="inlineStr">
        <is>
          <t>2순위</t>
        </is>
      </c>
    </row>
    <row r="99" ht="30" customHeight="1">
      <c r="A99" s="3" t="n">
        <v>98</v>
      </c>
      <c r="B99" s="3" t="inlineStr">
        <is>
          <t>TC-W01</t>
        </is>
      </c>
      <c r="C99" s="3" t="inlineStr">
        <is>
          <t>1차</t>
        </is>
      </c>
      <c r="D99" s="3" t="inlineStr">
        <is>
          <t>F-18</t>
        </is>
      </c>
      <c r="E99" s="3" t="inlineStr">
        <is>
          <t>전 화면</t>
        </is>
      </c>
      <c r="F99" s="3" t="inlineStr">
        <is>
          <t>예외</t>
        </is>
      </c>
      <c r="G99" s="3" t="inlineStr">
        <is>
          <t>수집된 58개 화면 본문에서 명세 금칙어 검사</t>
        </is>
      </c>
      <c r="H99" s="3" t="inlineStr">
        <is>
          <t>58개 화면 본문 수집 완료</t>
        </is>
      </c>
      <c r="I99" s="3" t="inlineStr">
        <is>
          <t>STO·토큰·지갑 주소·에스크로·수익 보장·락업·배당 정규식 검사</t>
        </is>
      </c>
      <c r="J99" s="3" t="inlineStr">
        <is>
          <t>금칙어가 화면에 노출되지 않는다</t>
        </is>
      </c>
      <c r="K99" s="3" t="inlineStr"/>
      <c r="L99" s="13" t="inlineStr">
        <is>
          <t>Pass</t>
        </is>
      </c>
      <c r="M99" s="3" t="inlineStr">
        <is>
          <t>Chromium 1440x900 · mobile 390x844 · tablet 768x1024</t>
        </is>
      </c>
      <c r="N99" s="3" t="inlineStr">
        <is>
          <t>2026-08-25</t>
        </is>
      </c>
      <c r="O99" s="3" t="inlineStr"/>
      <c r="P99" s="3" t="inlineStr">
        <is>
          <t>검출 0건</t>
        </is>
      </c>
      <c r="Q99" s="3" t="inlineStr">
        <is>
          <t>1순위</t>
        </is>
      </c>
    </row>
    <row r="100" ht="30" customHeight="1">
      <c r="A100" s="3" t="n">
        <v>99</v>
      </c>
      <c r="B100" s="3" t="inlineStr">
        <is>
          <t>TC-X01</t>
        </is>
      </c>
      <c r="C100" s="3" t="inlineStr">
        <is>
          <t>2차</t>
        </is>
      </c>
      <c r="D100" s="3" t="inlineStr">
        <is>
          <t>F-13</t>
        </is>
      </c>
      <c r="E100" s="3" t="inlineStr">
        <is>
          <t>/api/optimization/[id]</t>
        </is>
      </c>
      <c r="F100" s="3" t="inlineStr">
        <is>
          <t>예외</t>
        </is>
      </c>
      <c r="G100" s="3" t="inlineStr">
        <is>
          <t>비회원이 생육 최적화 API 조회</t>
        </is>
      </c>
      <c r="H100" s="3" t="inlineStr">
        <is>
          <t>수정 반영 후 로컬 dev</t>
        </is>
      </c>
      <c r="I100" s="3" t="inlineStr">
        <is>
          <t>API/브라우저로 직접 실행</t>
        </is>
      </c>
      <c r="J100" s="3" t="inlineStr">
        <is>
          <t>401 Unauthorized</t>
        </is>
      </c>
      <c r="K100" s="3" t="inlineStr"/>
      <c r="L100" s="13" t="inlineStr">
        <is>
          <t>Pass</t>
        </is>
      </c>
      <c r="M100" s="3" t="inlineStr">
        <is>
          <t>Chromium 1440x900 · mobile 390x844 · tablet 768x1024</t>
        </is>
      </c>
      <c r="N100" s="3" t="inlineStr">
        <is>
          <t>2026-08-25</t>
        </is>
      </c>
      <c r="O100" s="3" t="inlineStr">
        <is>
          <t>REQ-005</t>
        </is>
      </c>
      <c r="P100" s="3" t="inlineStr">
        <is>
          <t>401</t>
        </is>
      </c>
      <c r="Q100" s="3" t="inlineStr">
        <is>
          <t>1순위</t>
        </is>
      </c>
    </row>
    <row r="101" ht="30" customHeight="1">
      <c r="A101" s="3" t="n">
        <v>100</v>
      </c>
      <c r="B101" s="3" t="inlineStr">
        <is>
          <t>TC-X02</t>
        </is>
      </c>
      <c r="C101" s="3" t="inlineStr">
        <is>
          <t>2차</t>
        </is>
      </c>
      <c r="D101" s="3" t="inlineStr">
        <is>
          <t>F-13</t>
        </is>
      </c>
      <c r="E101" s="3" t="inlineStr">
        <is>
          <t>/api/briefing/[id]</t>
        </is>
      </c>
      <c r="F101" s="3" t="inlineStr">
        <is>
          <t>예외</t>
        </is>
      </c>
      <c r="G101" s="3" t="inlineStr">
        <is>
          <t>비회원이 브리핑 API 조회</t>
        </is>
      </c>
      <c r="H101" s="3" t="inlineStr">
        <is>
          <t>수정 반영 후 로컬 dev</t>
        </is>
      </c>
      <c r="I101" s="3" t="inlineStr">
        <is>
          <t>API/브라우저로 직접 실행</t>
        </is>
      </c>
      <c r="J101" s="3" t="inlineStr">
        <is>
          <t>401 Unauthorized</t>
        </is>
      </c>
      <c r="K101" s="3" t="inlineStr"/>
      <c r="L101" s="13" t="inlineStr">
        <is>
          <t>Pass</t>
        </is>
      </c>
      <c r="M101" s="3" t="inlineStr">
        <is>
          <t>Chromium 1440x900 · mobile 390x844 · tablet 768x1024</t>
        </is>
      </c>
      <c r="N101" s="3" t="inlineStr">
        <is>
          <t>2026-08-25</t>
        </is>
      </c>
      <c r="O101" s="3" t="inlineStr">
        <is>
          <t>REQ-005</t>
        </is>
      </c>
      <c r="P101" s="3" t="inlineStr">
        <is>
          <t>401</t>
        </is>
      </c>
      <c r="Q101" s="3" t="inlineStr">
        <is>
          <t>1순위</t>
        </is>
      </c>
    </row>
    <row r="102" ht="30" customHeight="1">
      <c r="A102" s="3" t="n">
        <v>101</v>
      </c>
      <c r="B102" s="3" t="inlineStr">
        <is>
          <t>TC-X03</t>
        </is>
      </c>
      <c r="C102" s="3" t="inlineStr">
        <is>
          <t>2차</t>
        </is>
      </c>
      <c r="D102" s="3" t="inlineStr">
        <is>
          <t>F-13</t>
        </is>
      </c>
      <c r="E102" s="3" t="inlineStr">
        <is>
          <t>/api/optimization/[id]</t>
        </is>
      </c>
      <c r="F102" s="3" t="inlineStr">
        <is>
          <t>예외</t>
        </is>
      </c>
      <c r="G102" s="3" t="inlineStr">
        <is>
          <t>투자자가 남의 지점 최적화 API 조회</t>
        </is>
      </c>
      <c r="H102" s="3" t="inlineStr">
        <is>
          <t>수정 반영 후 로컬 dev</t>
        </is>
      </c>
      <c r="I102" s="3" t="inlineStr">
        <is>
          <t>API/브라우저로 직접 실행</t>
        </is>
      </c>
      <c r="J102" s="3" t="inlineStr">
        <is>
          <t>403 배정되지 않은 매장</t>
        </is>
      </c>
      <c r="K102" s="3" t="inlineStr"/>
      <c r="L102" s="13" t="inlineStr">
        <is>
          <t>Pass</t>
        </is>
      </c>
      <c r="M102" s="3" t="inlineStr">
        <is>
          <t>Chromium 1440x900 · mobile 390x844 · tablet 768x1024</t>
        </is>
      </c>
      <c r="N102" s="3" t="inlineStr">
        <is>
          <t>2026-08-25</t>
        </is>
      </c>
      <c r="O102" s="3" t="inlineStr">
        <is>
          <t>REQ-005</t>
        </is>
      </c>
      <c r="P102" s="3" t="inlineStr">
        <is>
          <t>403</t>
        </is>
      </c>
      <c r="Q102" s="3" t="inlineStr">
        <is>
          <t>1순위</t>
        </is>
      </c>
    </row>
    <row r="103" ht="30" customHeight="1">
      <c r="A103" s="3" t="n">
        <v>102</v>
      </c>
      <c r="B103" s="3" t="inlineStr">
        <is>
          <t>TC-X04</t>
        </is>
      </c>
      <c r="C103" s="3" t="inlineStr">
        <is>
          <t>2차</t>
        </is>
      </c>
      <c r="D103" s="3" t="inlineStr">
        <is>
          <t>F-13</t>
        </is>
      </c>
      <c r="E103" s="3" t="inlineStr">
        <is>
          <t>/api/optimization/[id]</t>
        </is>
      </c>
      <c r="F103" s="3" t="inlineStr">
        <is>
          <t>정상</t>
        </is>
      </c>
      <c r="G103" s="3" t="inlineStr">
        <is>
          <t>배정 운영자가 최적화 API 조회 (정상 경로 유지)</t>
        </is>
      </c>
      <c r="H103" s="3" t="inlineStr">
        <is>
          <t>수정 반영 후 로컬 dev</t>
        </is>
      </c>
      <c r="I103" s="3" t="inlineStr">
        <is>
          <t>API/브라우저로 직접 실행</t>
        </is>
      </c>
      <c r="J103" s="3" t="inlineStr">
        <is>
          <t>200</t>
        </is>
      </c>
      <c r="K103" s="3" t="inlineStr"/>
      <c r="L103" s="13" t="inlineStr">
        <is>
          <t>Pass</t>
        </is>
      </c>
      <c r="M103" s="3" t="inlineStr">
        <is>
          <t>Chromium 1440x900 · mobile 390x844 · tablet 768x1024</t>
        </is>
      </c>
      <c r="N103" s="3" t="inlineStr">
        <is>
          <t>2026-08-25</t>
        </is>
      </c>
      <c r="O103" s="3" t="inlineStr">
        <is>
          <t>REQ-005</t>
        </is>
      </c>
      <c r="P103" s="3" t="inlineStr">
        <is>
          <t>200</t>
        </is>
      </c>
      <c r="Q103" s="3" t="inlineStr">
        <is>
          <t>2순위</t>
        </is>
      </c>
    </row>
    <row r="104" ht="30" customHeight="1">
      <c r="A104" s="3" t="n">
        <v>103</v>
      </c>
      <c r="B104" s="3" t="inlineStr">
        <is>
          <t>TC-X05</t>
        </is>
      </c>
      <c r="C104" s="3" t="inlineStr">
        <is>
          <t>2차</t>
        </is>
      </c>
      <c r="D104" s="3" t="inlineStr">
        <is>
          <t>F-13</t>
        </is>
      </c>
      <c r="E104" s="3" t="inlineStr">
        <is>
          <t>/optimization/[id]</t>
        </is>
      </c>
      <c r="F104" s="3" t="inlineStr">
        <is>
          <t>예외</t>
        </is>
      </c>
      <c r="G104" s="3" t="inlineStr">
        <is>
          <t>비회원이 최적화 화면 진입</t>
        </is>
      </c>
      <c r="H104" s="3" t="inlineStr">
        <is>
          <t>수정 반영 후 로컬 dev</t>
        </is>
      </c>
      <c r="I104" s="3" t="inlineStr">
        <is>
          <t>API/브라우저로 직접 실행</t>
        </is>
      </c>
      <c r="J104" s="3" t="inlineStr">
        <is>
          <t>/login 으로 이동</t>
        </is>
      </c>
      <c r="K104" s="3" t="inlineStr"/>
      <c r="L104" s="13" t="inlineStr">
        <is>
          <t>Pass</t>
        </is>
      </c>
      <c r="M104" s="3" t="inlineStr">
        <is>
          <t>Chromium 1440x900 · mobile 390x844 · tablet 768x1024</t>
        </is>
      </c>
      <c r="N104" s="3" t="inlineStr">
        <is>
          <t>2026-08-25</t>
        </is>
      </c>
      <c r="O104" s="3" t="inlineStr">
        <is>
          <t>REQ-005</t>
        </is>
      </c>
      <c r="P104" s="3" t="inlineStr">
        <is>
          <t>/login?next=/operator</t>
        </is>
      </c>
      <c r="Q104" s="3" t="inlineStr">
        <is>
          <t>1순위</t>
        </is>
      </c>
    </row>
    <row r="105" ht="30" customHeight="1">
      <c r="A105" s="3" t="n">
        <v>104</v>
      </c>
      <c r="B105" s="3" t="inlineStr">
        <is>
          <t>TC-X06</t>
        </is>
      </c>
      <c r="C105" s="3" t="inlineStr">
        <is>
          <t>2차</t>
        </is>
      </c>
      <c r="D105" s="3" t="inlineStr">
        <is>
          <t>F-13</t>
        </is>
      </c>
      <c r="E105" s="3" t="inlineStr">
        <is>
          <t>/optimization/[id]</t>
        </is>
      </c>
      <c r="F105" s="3" t="inlineStr">
        <is>
          <t>예외</t>
        </is>
      </c>
      <c r="G105" s="3" t="inlineStr">
        <is>
          <t>투자자가 최적화 화면 진입</t>
        </is>
      </c>
      <c r="H105" s="3" t="inlineStr">
        <is>
          <t>수정 반영 후 로컬 dev</t>
        </is>
      </c>
      <c r="I105" s="3" t="inlineStr">
        <is>
          <t>API/브라우저로 직접 실행</t>
        </is>
      </c>
      <c r="J105" s="3" t="inlineStr">
        <is>
          <t>자기 역할 홈으로 이동</t>
        </is>
      </c>
      <c r="K105" s="3" t="inlineStr"/>
      <c r="L105" s="13" t="inlineStr">
        <is>
          <t>Pass</t>
        </is>
      </c>
      <c r="M105" s="3" t="inlineStr">
        <is>
          <t>Chromium 1440x900 · mobile 390x844 · tablet 768x1024</t>
        </is>
      </c>
      <c r="N105" s="3" t="inlineStr">
        <is>
          <t>2026-08-25</t>
        </is>
      </c>
      <c r="O105" s="3" t="inlineStr">
        <is>
          <t>REQ-005</t>
        </is>
      </c>
      <c r="P105" s="3" t="inlineStr">
        <is>
          <t>/investor</t>
        </is>
      </c>
      <c r="Q105" s="3" t="inlineStr">
        <is>
          <t>1순위</t>
        </is>
      </c>
    </row>
    <row r="106" ht="30" customHeight="1">
      <c r="A106" s="3" t="n">
        <v>105</v>
      </c>
      <c r="B106" s="3" t="inlineStr">
        <is>
          <t>TC-X07</t>
        </is>
      </c>
      <c r="C106" s="3" t="inlineStr">
        <is>
          <t>2차</t>
        </is>
      </c>
      <c r="D106" s="3" t="inlineStr">
        <is>
          <t>F-17</t>
        </is>
      </c>
      <c r="E106" s="3" t="inlineStr">
        <is>
          <t>/admin</t>
        </is>
      </c>
      <c r="F106" s="3" t="inlineStr">
        <is>
          <t>예외</t>
        </is>
      </c>
      <c r="G106" s="3" t="inlineStr">
        <is>
          <t>투자자 세션으로 /admin 진입</t>
        </is>
      </c>
      <c r="H106" s="3" t="inlineStr">
        <is>
          <t>수정 반영 후 로컬 dev</t>
        </is>
      </c>
      <c r="I106" s="3" t="inlineStr">
        <is>
          <t>API/브라우저로 직접 실행</t>
        </is>
      </c>
      <c r="J106" s="3" t="inlineStr">
        <is>
          <t>/investor 로 리다이렉트</t>
        </is>
      </c>
      <c r="K106" s="3" t="inlineStr"/>
      <c r="L106" s="13" t="inlineStr">
        <is>
          <t>Pass</t>
        </is>
      </c>
      <c r="M106" s="3" t="inlineStr">
        <is>
          <t>Chromium 1440x900 · mobile 390x844 · tablet 768x1024</t>
        </is>
      </c>
      <c r="N106" s="3" t="inlineStr">
        <is>
          <t>2026-08-25</t>
        </is>
      </c>
      <c r="O106" s="3" t="inlineStr">
        <is>
          <t>REQ-004</t>
        </is>
      </c>
      <c r="P106" s="3" t="inlineStr">
        <is>
          <t>/investor</t>
        </is>
      </c>
      <c r="Q106" s="3" t="inlineStr">
        <is>
          <t>1순위</t>
        </is>
      </c>
    </row>
    <row r="107" ht="30" customHeight="1">
      <c r="A107" s="3" t="n">
        <v>106</v>
      </c>
      <c r="B107" s="3" t="inlineStr">
        <is>
          <t>TC-X08</t>
        </is>
      </c>
      <c r="C107" s="3" t="inlineStr">
        <is>
          <t>2차</t>
        </is>
      </c>
      <c r="D107" s="3" t="inlineStr">
        <is>
          <t>F-17</t>
        </is>
      </c>
      <c r="E107" s="3" t="inlineStr">
        <is>
          <t>/admin/ledger</t>
        </is>
      </c>
      <c r="F107" s="3" t="inlineStr">
        <is>
          <t>예외</t>
        </is>
      </c>
      <c r="G107" s="3" t="inlineStr">
        <is>
          <t>투자자 세션으로 /admin/ledger 진입</t>
        </is>
      </c>
      <c r="H107" s="3" t="inlineStr">
        <is>
          <t>수정 반영 후 로컬 dev</t>
        </is>
      </c>
      <c r="I107" s="3" t="inlineStr">
        <is>
          <t>API/브라우저로 직접 실행</t>
        </is>
      </c>
      <c r="J107" s="3" t="inlineStr">
        <is>
          <t>/investor 로 리다이렉트</t>
        </is>
      </c>
      <c r="K107" s="3" t="inlineStr"/>
      <c r="L107" s="13" t="inlineStr">
        <is>
          <t>Pass</t>
        </is>
      </c>
      <c r="M107" s="3" t="inlineStr">
        <is>
          <t>Chromium 1440x900 · mobile 390x844 · tablet 768x1024</t>
        </is>
      </c>
      <c r="N107" s="3" t="inlineStr">
        <is>
          <t>2026-08-25</t>
        </is>
      </c>
      <c r="O107" s="3" t="inlineStr">
        <is>
          <t>REQ-004</t>
        </is>
      </c>
      <c r="P107" s="3" t="inlineStr">
        <is>
          <t>/investor</t>
        </is>
      </c>
      <c r="Q107" s="3" t="inlineStr">
        <is>
          <t>1순위</t>
        </is>
      </c>
    </row>
    <row r="108" ht="30" customHeight="1">
      <c r="A108" s="3" t="n">
        <v>107</v>
      </c>
      <c r="B108" s="3" t="inlineStr">
        <is>
          <t>TC-X09</t>
        </is>
      </c>
      <c r="C108" s="3" t="inlineStr">
        <is>
          <t>2차</t>
        </is>
      </c>
      <c r="D108" s="3" t="inlineStr">
        <is>
          <t>F-17</t>
        </is>
      </c>
      <c r="E108" s="3" t="inlineStr">
        <is>
          <t>/operator/milestones</t>
        </is>
      </c>
      <c r="F108" s="3" t="inlineStr">
        <is>
          <t>예외</t>
        </is>
      </c>
      <c r="G108" s="3" t="inlineStr">
        <is>
          <t>투자자 세션으로 운영자 화면 진입</t>
        </is>
      </c>
      <c r="H108" s="3" t="inlineStr">
        <is>
          <t>수정 반영 후 로컬 dev</t>
        </is>
      </c>
      <c r="I108" s="3" t="inlineStr">
        <is>
          <t>API/브라우저로 직접 실행</t>
        </is>
      </c>
      <c r="J108" s="3" t="inlineStr">
        <is>
          <t>/investor 로 리다이렉트</t>
        </is>
      </c>
      <c r="K108" s="3" t="inlineStr"/>
      <c r="L108" s="13" t="inlineStr">
        <is>
          <t>Pass</t>
        </is>
      </c>
      <c r="M108" s="3" t="inlineStr">
        <is>
          <t>Chromium 1440x900 · mobile 390x844 · tablet 768x1024</t>
        </is>
      </c>
      <c r="N108" s="3" t="inlineStr">
        <is>
          <t>2026-08-25</t>
        </is>
      </c>
      <c r="O108" s="3" t="inlineStr">
        <is>
          <t>REQ-004</t>
        </is>
      </c>
      <c r="P108" s="3" t="inlineStr">
        <is>
          <t>/investor</t>
        </is>
      </c>
      <c r="Q108" s="3" t="inlineStr">
        <is>
          <t>1순위</t>
        </is>
      </c>
    </row>
    <row r="109" ht="30" customHeight="1">
      <c r="A109" s="3" t="n">
        <v>108</v>
      </c>
      <c r="B109" s="3" t="inlineStr">
        <is>
          <t>TC-X10</t>
        </is>
      </c>
      <c r="C109" s="3" t="inlineStr">
        <is>
          <t>2차</t>
        </is>
      </c>
      <c r="D109" s="3" t="inlineStr">
        <is>
          <t>F-17</t>
        </is>
      </c>
      <c r="E109" s="3" t="inlineStr">
        <is>
          <t>/landlord</t>
        </is>
      </c>
      <c r="F109" s="3" t="inlineStr">
        <is>
          <t>예외</t>
        </is>
      </c>
      <c r="G109" s="3" t="inlineStr">
        <is>
          <t>투자자 세션으로 임대인 화면 진입</t>
        </is>
      </c>
      <c r="H109" s="3" t="inlineStr">
        <is>
          <t>수정 반영 후 로컬 dev</t>
        </is>
      </c>
      <c r="I109" s="3" t="inlineStr">
        <is>
          <t>API/브라우저로 직접 실행</t>
        </is>
      </c>
      <c r="J109" s="3" t="inlineStr">
        <is>
          <t>/investor 로 리다이렉트</t>
        </is>
      </c>
      <c r="K109" s="3" t="inlineStr"/>
      <c r="L109" s="13" t="inlineStr">
        <is>
          <t>Pass</t>
        </is>
      </c>
      <c r="M109" s="3" t="inlineStr">
        <is>
          <t>Chromium 1440x900 · mobile 390x844 · tablet 768x1024</t>
        </is>
      </c>
      <c r="N109" s="3" t="inlineStr">
        <is>
          <t>2026-08-25</t>
        </is>
      </c>
      <c r="O109" s="3" t="inlineStr">
        <is>
          <t>REQ-004</t>
        </is>
      </c>
      <c r="P109" s="3" t="inlineStr">
        <is>
          <t>/investor</t>
        </is>
      </c>
      <c r="Q109" s="3" t="inlineStr">
        <is>
          <t>1순위</t>
        </is>
      </c>
    </row>
    <row r="110" ht="30" customHeight="1">
      <c r="A110" s="3" t="n">
        <v>109</v>
      </c>
      <c r="B110" s="3" t="inlineStr">
        <is>
          <t>TC-X11</t>
        </is>
      </c>
      <c r="C110" s="3" t="inlineStr">
        <is>
          <t>2차</t>
        </is>
      </c>
      <c r="D110" s="3" t="inlineStr">
        <is>
          <t>F-14</t>
        </is>
      </c>
      <c r="E110" s="3" t="inlineStr">
        <is>
          <t>/admin</t>
        </is>
      </c>
      <c r="F110" s="3" t="inlineStr">
        <is>
          <t>정상</t>
        </is>
      </c>
      <c r="G110" s="3" t="inlineStr">
        <is>
          <t>관리자가 /admin 진입 (정상 경로 유지)</t>
        </is>
      </c>
      <c r="H110" s="3" t="inlineStr">
        <is>
          <t>수정 반영 후 로컬 dev</t>
        </is>
      </c>
      <c r="I110" s="3" t="inlineStr">
        <is>
          <t>API/브라우저로 직접 실행</t>
        </is>
      </c>
      <c r="J110" s="3" t="inlineStr">
        <is>
          <t>그대로 열림</t>
        </is>
      </c>
      <c r="K110" s="3" t="inlineStr"/>
      <c r="L110" s="13" t="inlineStr">
        <is>
          <t>Pass</t>
        </is>
      </c>
      <c r="M110" s="3" t="inlineStr">
        <is>
          <t>Chromium 1440x900 · mobile 390x844 · tablet 768x1024</t>
        </is>
      </c>
      <c r="N110" s="3" t="inlineStr">
        <is>
          <t>2026-08-25</t>
        </is>
      </c>
      <c r="O110" s="3" t="inlineStr">
        <is>
          <t>REQ-004</t>
        </is>
      </c>
      <c r="P110" s="3" t="inlineStr">
        <is>
          <t>/admin</t>
        </is>
      </c>
      <c r="Q110" s="3" t="inlineStr">
        <is>
          <t>2순위</t>
        </is>
      </c>
    </row>
    <row r="111" ht="30" customHeight="1">
      <c r="A111" s="3" t="n">
        <v>110</v>
      </c>
      <c r="B111" s="3" t="inlineStr">
        <is>
          <t>TC-X12</t>
        </is>
      </c>
      <c r="C111" s="3" t="inlineStr">
        <is>
          <t>2차</t>
        </is>
      </c>
      <c r="D111" s="3" t="inlineStr">
        <is>
          <t>F-11</t>
        </is>
      </c>
      <c r="E111" s="3" t="inlineStr">
        <is>
          <t>/operator/milestones</t>
        </is>
      </c>
      <c r="F111" s="3" t="inlineStr">
        <is>
          <t>정상</t>
        </is>
      </c>
      <c r="G111" s="3" t="inlineStr">
        <is>
          <t>운영자가 운영자 화면 진입 (정상 경로 유지)</t>
        </is>
      </c>
      <c r="H111" s="3" t="inlineStr">
        <is>
          <t>수정 반영 후 로컬 dev</t>
        </is>
      </c>
      <c r="I111" s="3" t="inlineStr">
        <is>
          <t>API/브라우저로 직접 실행</t>
        </is>
      </c>
      <c r="J111" s="3" t="inlineStr">
        <is>
          <t>그대로 열림</t>
        </is>
      </c>
      <c r="K111" s="3" t="inlineStr"/>
      <c r="L111" s="13" t="inlineStr">
        <is>
          <t>Pass</t>
        </is>
      </c>
      <c r="M111" s="3" t="inlineStr">
        <is>
          <t>Chromium 1440x900 · mobile 390x844 · tablet 768x1024</t>
        </is>
      </c>
      <c r="N111" s="3" t="inlineStr">
        <is>
          <t>2026-08-25</t>
        </is>
      </c>
      <c r="O111" s="3" t="inlineStr">
        <is>
          <t>REQ-004</t>
        </is>
      </c>
      <c r="P111" s="3" t="inlineStr">
        <is>
          <t>/operator/milestones</t>
        </is>
      </c>
      <c r="Q111" s="3" t="inlineStr">
        <is>
          <t>2순위</t>
        </is>
      </c>
    </row>
    <row r="112" ht="30" customHeight="1">
      <c r="A112" s="3" t="n">
        <v>111</v>
      </c>
      <c r="B112" s="3" t="inlineStr">
        <is>
          <t>TC-X13</t>
        </is>
      </c>
      <c r="C112" s="3" t="inlineStr">
        <is>
          <t>2차</t>
        </is>
      </c>
      <c r="D112" s="3" t="inlineStr">
        <is>
          <t>F-06</t>
        </is>
      </c>
      <c r="E112" s="3" t="inlineStr">
        <is>
          <t>/api/subscribe</t>
        </is>
      </c>
      <c r="F112" s="3" t="inlineStr">
        <is>
          <t>예외</t>
        </is>
      </c>
      <c r="G112" s="3" t="inlineStr">
        <is>
          <t>우회 라우트 직접 호출</t>
        </is>
      </c>
      <c r="H112" s="3" t="inlineStr">
        <is>
          <t>수정 반영 후 로컬 dev</t>
        </is>
      </c>
      <c r="I112" s="3" t="inlineStr">
        <is>
          <t>API/브라우저로 직접 실행</t>
        </is>
      </c>
      <c r="J112" s="3" t="inlineStr">
        <is>
          <t>404 (라우트 없음)</t>
        </is>
      </c>
      <c r="K112" s="3" t="inlineStr"/>
      <c r="L112" s="13" t="inlineStr">
        <is>
          <t>Pass</t>
        </is>
      </c>
      <c r="M112" s="3" t="inlineStr">
        <is>
          <t>Chromium 1440x900 · mobile 390x844 · tablet 768x1024</t>
        </is>
      </c>
      <c r="N112" s="3" t="inlineStr">
        <is>
          <t>2026-08-25</t>
        </is>
      </c>
      <c r="O112" s="3" t="inlineStr">
        <is>
          <t>REQ-002</t>
        </is>
      </c>
      <c r="P112" s="3" t="inlineStr">
        <is>
          <t>404</t>
        </is>
      </c>
      <c r="Q112" s="3" t="inlineStr">
        <is>
          <t>1순위</t>
        </is>
      </c>
    </row>
    <row r="113" ht="30" customHeight="1">
      <c r="A113" s="3" t="n">
        <v>112</v>
      </c>
      <c r="B113" s="3" t="inlineStr">
        <is>
          <t>TC-X14</t>
        </is>
      </c>
      <c r="C113" s="3" t="inlineStr">
        <is>
          <t>2차</t>
        </is>
      </c>
      <c r="D113" s="3" t="inlineStr">
        <is>
          <t>F-12</t>
        </is>
      </c>
      <c r="E113" s="3" t="inlineStr">
        <is>
          <t>O-11</t>
        </is>
      </c>
      <c r="F113" s="3" t="inlineStr">
        <is>
          <t>예외</t>
        </is>
      </c>
      <c r="G113" s="3" t="inlineStr">
        <is>
          <t>미배정 지점(operatorId 없음)에 증빙 제출</t>
        </is>
      </c>
      <c r="H113" s="3" t="inlineStr">
        <is>
          <t>수정 반영 후 로컬 dev</t>
        </is>
      </c>
      <c r="I113" s="3" t="inlineStr">
        <is>
          <t>API/브라우저로 직접 실행</t>
        </is>
      </c>
      <c r="J113" s="3" t="inlineStr">
        <is>
          <t>403</t>
        </is>
      </c>
      <c r="K113" s="3" t="inlineStr"/>
      <c r="L113" s="13" t="inlineStr">
        <is>
          <t>Pass</t>
        </is>
      </c>
      <c r="M113" s="3" t="inlineStr">
        <is>
          <t>Chromium 1440x900 · mobile 390x844 · tablet 768x1024</t>
        </is>
      </c>
      <c r="N113" s="3" t="inlineStr">
        <is>
          <t>2026-08-25</t>
        </is>
      </c>
      <c r="O113" s="3" t="inlineStr">
        <is>
          <t>REQ-003</t>
        </is>
      </c>
      <c r="P113" s="3" t="inlineStr">
        <is>
          <t>403 배정된 지점의 운영자만 제출할 수 있습니다</t>
        </is>
      </c>
      <c r="Q113" s="3" t="inlineStr">
        <is>
          <t>1순위</t>
        </is>
      </c>
    </row>
    <row r="114" ht="30" customHeight="1">
      <c r="A114" s="3" t="n">
        <v>113</v>
      </c>
      <c r="B114" s="3" t="inlineStr">
        <is>
          <t>TC-X15</t>
        </is>
      </c>
      <c r="C114" s="3" t="inlineStr">
        <is>
          <t>2차</t>
        </is>
      </c>
      <c r="D114" s="3" t="inlineStr">
        <is>
          <t>F-12</t>
        </is>
      </c>
      <c r="E114" s="3" t="inlineStr">
        <is>
          <t>O-11</t>
        </is>
      </c>
      <c r="F114" s="3" t="inlineStr">
        <is>
          <t>예외</t>
        </is>
      </c>
      <c r="G114" s="3" t="inlineStr">
        <is>
          <t>남의 배정 지점에 증빙 제출</t>
        </is>
      </c>
      <c r="H114" s="3" t="inlineStr">
        <is>
          <t>수정 반영 후 로컬 dev</t>
        </is>
      </c>
      <c r="I114" s="3" t="inlineStr">
        <is>
          <t>API/브라우저로 직접 실행</t>
        </is>
      </c>
      <c r="J114" s="3" t="inlineStr">
        <is>
          <t>403</t>
        </is>
      </c>
      <c r="K114" s="3" t="inlineStr"/>
      <c r="L114" s="13" t="inlineStr">
        <is>
          <t>Pass</t>
        </is>
      </c>
      <c r="M114" s="3" t="inlineStr">
        <is>
          <t>Chromium 1440x900 · mobile 390x844 · tablet 768x1024</t>
        </is>
      </c>
      <c r="N114" s="3" t="inlineStr">
        <is>
          <t>2026-08-25</t>
        </is>
      </c>
      <c r="O114" s="3" t="inlineStr">
        <is>
          <t>REQ-003</t>
        </is>
      </c>
      <c r="P114" s="3" t="inlineStr">
        <is>
          <t>403</t>
        </is>
      </c>
      <c r="Q114" s="3" t="inlineStr">
        <is>
          <t>1순위</t>
        </is>
      </c>
    </row>
    <row r="115" ht="30" customHeight="1">
      <c r="A115" s="3" t="n">
        <v>114</v>
      </c>
      <c r="B115" s="3" t="inlineStr">
        <is>
          <t>TC-X16</t>
        </is>
      </c>
      <c r="C115" s="3" t="inlineStr">
        <is>
          <t>2차</t>
        </is>
      </c>
      <c r="D115" s="3" t="inlineStr">
        <is>
          <t>F-12</t>
        </is>
      </c>
      <c r="E115" s="3" t="inlineStr">
        <is>
          <t>O-11</t>
        </is>
      </c>
      <c r="F115" s="3" t="inlineStr">
        <is>
          <t>정상</t>
        </is>
      </c>
      <c r="G115" s="3" t="inlineStr">
        <is>
          <t>배정 운영자 증빙 제출 (정상 경로 유지)</t>
        </is>
      </c>
      <c r="H115" s="3" t="inlineStr">
        <is>
          <t>수정 반영 후 로컬 dev</t>
        </is>
      </c>
      <c r="I115" s="3" t="inlineStr">
        <is>
          <t>API/브라우저로 직접 실행</t>
        </is>
      </c>
      <c r="J115" s="3" t="inlineStr">
        <is>
          <t>200 · evidence_submitted</t>
        </is>
      </c>
      <c r="K115" s="3" t="inlineStr"/>
      <c r="L115" s="13" t="inlineStr">
        <is>
          <t>Pass</t>
        </is>
      </c>
      <c r="M115" s="3" t="inlineStr">
        <is>
          <t>Chromium 1440x900 · mobile 390x844 · tablet 768x1024</t>
        </is>
      </c>
      <c r="N115" s="3" t="inlineStr">
        <is>
          <t>2026-08-25</t>
        </is>
      </c>
      <c r="O115" s="3" t="inlineStr">
        <is>
          <t>REQ-003</t>
        </is>
      </c>
      <c r="P115" s="3" t="inlineStr">
        <is>
          <t>200</t>
        </is>
      </c>
      <c r="Q115" s="3" t="inlineStr">
        <is>
          <t>2순위</t>
        </is>
      </c>
    </row>
    <row r="116" ht="30" customHeight="1">
      <c r="A116" s="3" t="n">
        <v>115</v>
      </c>
      <c r="B116" s="3" t="inlineStr">
        <is>
          <t>TC-X17</t>
        </is>
      </c>
      <c r="C116" s="3" t="inlineStr">
        <is>
          <t>2차</t>
        </is>
      </c>
      <c r="D116" s="3" t="inlineStr">
        <is>
          <t>F-07</t>
        </is>
      </c>
      <c r="E116" s="3" t="inlineStr">
        <is>
          <t>I-03</t>
        </is>
      </c>
      <c r="F116" s="3" t="inlineStr">
        <is>
          <t>정상</t>
        </is>
      </c>
      <c r="G116" s="3" t="inlineStr">
        <is>
          <t>1차 입금 웹훅 (정상 경로 유지)</t>
        </is>
      </c>
      <c r="H116" s="3" t="inlineStr">
        <is>
          <t>수정 반영 후 로컬 dev</t>
        </is>
      </c>
      <c r="I116" s="3" t="inlineStr">
        <is>
          <t>API/브라우저로 직접 실행</t>
        </is>
      </c>
      <c r="J116" s="3" t="inlineStr">
        <is>
          <t>outcome CONFIRMED · DepositEvent 1 · 청약 반영</t>
        </is>
      </c>
      <c r="K116" s="3" t="inlineStr"/>
      <c r="L116" s="13" t="inlineStr">
        <is>
          <t>Pass</t>
        </is>
      </c>
      <c r="M116" s="3" t="inlineStr">
        <is>
          <t>Chromium 1440x900 · mobile 390x844 · tablet 768x1024</t>
        </is>
      </c>
      <c r="N116" s="3" t="inlineStr">
        <is>
          <t>2026-08-25</t>
        </is>
      </c>
      <c r="O116" s="3" t="inlineStr">
        <is>
          <t>REQ-001</t>
        </is>
      </c>
      <c r="P116" s="3" t="inlineStr">
        <is>
          <t>CONFIRMED · de=1 · 청약 COMPLETED</t>
        </is>
      </c>
      <c r="Q116" s="3" t="inlineStr">
        <is>
          <t>2순위</t>
        </is>
      </c>
    </row>
    <row r="117" ht="30" customHeight="1">
      <c r="A117" s="3" t="n">
        <v>116</v>
      </c>
      <c r="B117" s="3" t="inlineStr">
        <is>
          <t>TC-X18</t>
        </is>
      </c>
      <c r="C117" s="3" t="inlineStr">
        <is>
          <t>2차</t>
        </is>
      </c>
      <c r="D117" s="3" t="inlineStr">
        <is>
          <t>F-07</t>
        </is>
      </c>
      <c r="E117" s="3" t="inlineStr">
        <is>
          <t>I-03</t>
        </is>
      </c>
      <c r="F117" s="3" t="inlineStr">
        <is>
          <t>예외</t>
        </is>
      </c>
      <c r="G117" s="3" t="inlineStr">
        <is>
          <t>같은 거래번호 재전송</t>
        </is>
      </c>
      <c r="H117" s="3" t="inlineStr">
        <is>
          <t>수정 반영 후 로컬 dev</t>
        </is>
      </c>
      <c r="I117" s="3" t="inlineStr">
        <is>
          <t>API/브라우저로 직접 실행</t>
        </is>
      </c>
      <c r="J117" s="3" t="inlineStr">
        <is>
          <t>DUPLICATE · 건수 불변</t>
        </is>
      </c>
      <c r="K117" s="3" t="inlineStr"/>
      <c r="L117" s="13" t="inlineStr">
        <is>
          <t>Pass</t>
        </is>
      </c>
      <c r="M117" s="3" t="inlineStr">
        <is>
          <t>Chromium 1440x900 · mobile 390x844 · tablet 768x1024</t>
        </is>
      </c>
      <c r="N117" s="3" t="inlineStr">
        <is>
          <t>2026-08-25</t>
        </is>
      </c>
      <c r="O117" s="3" t="inlineStr">
        <is>
          <t>REQ-001</t>
        </is>
      </c>
      <c r="P117" s="3" t="inlineStr">
        <is>
          <t>DUPLICATE · 불변</t>
        </is>
      </c>
      <c r="Q117" s="3" t="inlineStr">
        <is>
          <t>1순위</t>
        </is>
      </c>
    </row>
    <row r="118" ht="30" customHeight="1">
      <c r="A118" s="3" t="n">
        <v>117</v>
      </c>
      <c r="B118" s="3" t="inlineStr">
        <is>
          <t>TC-X19</t>
        </is>
      </c>
      <c r="C118" s="3" t="inlineStr">
        <is>
          <t>2차</t>
        </is>
      </c>
      <c r="D118" s="3" t="inlineStr">
        <is>
          <t>F-07</t>
        </is>
      </c>
      <c r="E118" s="3" t="inlineStr">
        <is>
          <t>I-03</t>
        </is>
      </c>
      <c r="F118" s="3" t="inlineStr">
        <is>
          <t>예외</t>
        </is>
      </c>
      <c r="G118" s="3" t="inlineStr">
        <is>
          <t>★ 다른 거래번호로 2차 입금</t>
        </is>
      </c>
      <c r="H118" s="3" t="inlineStr">
        <is>
          <t>수정 반영 후 로컬 dev</t>
        </is>
      </c>
      <c r="I118" s="3" t="inlineStr">
        <is>
          <t>API/브라우저로 직접 실행</t>
        </is>
      </c>
      <c r="J118" s="3" t="inlineStr">
        <is>
          <t>outcome REVIEW · 발행 불변 · 모집액 불변</t>
        </is>
      </c>
      <c r="K118" s="3" t="inlineStr"/>
      <c r="L118" s="13" t="inlineStr">
        <is>
          <t>Pass</t>
        </is>
      </c>
      <c r="M118" s="3" t="inlineStr">
        <is>
          <t>Chromium 1440x900 · mobile 390x844 · tablet 768x1024</t>
        </is>
      </c>
      <c r="N118" s="3" t="inlineStr">
        <is>
          <t>2026-08-25</t>
        </is>
      </c>
      <c r="O118" s="3" t="inlineStr">
        <is>
          <t>REQ-001</t>
        </is>
      </c>
      <c r="P118" s="3" t="inlineStr">
        <is>
          <t>REVIEW · 발행 불변 · 모집 3580→3580</t>
        </is>
      </c>
      <c r="Q118" s="3" t="inlineStr">
        <is>
          <t>1순위</t>
        </is>
      </c>
    </row>
    <row r="119" ht="30" customHeight="1">
      <c r="A119" s="3" t="n">
        <v>118</v>
      </c>
      <c r="B119" s="3" t="inlineStr">
        <is>
          <t>TC-X20</t>
        </is>
      </c>
      <c r="C119" s="3" t="inlineStr">
        <is>
          <t>2차</t>
        </is>
      </c>
      <c r="D119" s="3" t="inlineStr">
        <is>
          <t>F-07</t>
        </is>
      </c>
      <c r="E119" s="3" t="inlineStr">
        <is>
          <t>A-01</t>
        </is>
      </c>
      <c r="F119" s="3" t="inlineStr">
        <is>
          <t>정상</t>
        </is>
      </c>
      <c r="G119" s="3" t="inlineStr">
        <is>
          <t>2차 입금이 관리자 검토 큐에 뜬다</t>
        </is>
      </c>
      <c r="H119" s="3" t="inlineStr">
        <is>
          <t>수정 반영 후 로컬 dev</t>
        </is>
      </c>
      <c r="I119" s="3" t="inlineStr">
        <is>
          <t>API/브라우저로 직접 실행</t>
        </is>
      </c>
      <c r="J119" s="3" t="inlineStr">
        <is>
          <t>검토 큐에 포함</t>
        </is>
      </c>
      <c r="K119" s="3" t="inlineStr"/>
      <c r="L119" s="13" t="inlineStr">
        <is>
          <t>Pass</t>
        </is>
      </c>
      <c r="M119" s="3" t="inlineStr">
        <is>
          <t>Chromium 1440x900 · mobile 390x844 · tablet 768x1024</t>
        </is>
      </c>
      <c r="N119" s="3" t="inlineStr">
        <is>
          <t>2026-08-25</t>
        </is>
      </c>
      <c r="O119" s="3" t="inlineStr">
        <is>
          <t>REQ-001</t>
        </is>
      </c>
      <c r="P119" s="3" t="inlineStr">
        <is>
          <t>포함됨</t>
        </is>
      </c>
      <c r="Q119" s="3" t="inlineStr">
        <is>
          <t>2순위</t>
        </is>
      </c>
    </row>
    <row r="120" ht="30" customHeight="1">
      <c r="A120" s="3" t="n">
        <v>119</v>
      </c>
      <c r="B120" s="3" t="inlineStr">
        <is>
          <t>TC-X21</t>
        </is>
      </c>
      <c r="C120" s="3" t="inlineStr">
        <is>
          <t>2차</t>
        </is>
      </c>
      <c r="D120" s="3" t="inlineStr">
        <is>
          <t>F-10</t>
        </is>
      </c>
      <c r="E120" s="3" t="inlineStr">
        <is>
          <t>/subscriptions</t>
        </is>
      </c>
      <c r="F120" s="3" t="inlineStr">
        <is>
          <t>정상</t>
        </is>
      </c>
      <c r="G120" s="3" t="inlineStr">
        <is>
          <t>내 구독에 죽은 링크가 없다</t>
        </is>
      </c>
      <c r="H120" s="3" t="inlineStr">
        <is>
          <t>수정 반영 후 로컬 dev</t>
        </is>
      </c>
      <c r="I120" s="3" t="inlineStr">
        <is>
          <t>API/브라우저로 직접 실행</t>
        </is>
      </c>
      <c r="J120" s="3" t="inlineStr">
        <is>
          <t>/investor/payouts 링크 없음 · 404 없음</t>
        </is>
      </c>
      <c r="K120" s="3" t="inlineStr"/>
      <c r="L120" s="13" t="inlineStr">
        <is>
          <t>Pass</t>
        </is>
      </c>
      <c r="M120" s="3" t="inlineStr">
        <is>
          <t>Chromium 1440x900 · mobile 390x844 · tablet 768x1024</t>
        </is>
      </c>
      <c r="N120" s="3" t="inlineStr">
        <is>
          <t>2026-08-25</t>
        </is>
      </c>
      <c r="O120" s="3" t="inlineStr">
        <is>
          <t>REQ-007</t>
        </is>
      </c>
      <c r="P120" s="3" t="inlineStr">
        <is>
          <t>링크 없음 · 404 없음</t>
        </is>
      </c>
      <c r="Q120" s="3" t="inlineStr">
        <is>
          <t>2순위</t>
        </is>
      </c>
    </row>
    <row r="121" ht="30" customHeight="1">
      <c r="A121" s="3" t="n">
        <v>120</v>
      </c>
      <c r="B121" s="3" t="inlineStr">
        <is>
          <t>TC-X22</t>
        </is>
      </c>
      <c r="C121" s="3" t="inlineStr">
        <is>
          <t>2차</t>
        </is>
      </c>
      <c r="D121" s="3" t="inlineStr">
        <is>
          <t>F-18</t>
        </is>
      </c>
      <c r="E121" s="3" t="inlineStr">
        <is>
          <t>공통</t>
        </is>
      </c>
      <c r="F121" s="3" t="inlineStr">
        <is>
          <t>경계</t>
        </is>
      </c>
      <c r="G121" s="3" t="inlineStr">
        <is>
          <t>mobile 390px 주요 5화면 가로 넘침</t>
        </is>
      </c>
      <c r="H121" s="3" t="inlineStr">
        <is>
          <t>수정 반영 후 로컬 dev</t>
        </is>
      </c>
      <c r="I121" s="3" t="inlineStr">
        <is>
          <t>API/브라우저로 직접 실행</t>
        </is>
      </c>
      <c r="J121" s="3" t="inlineStr">
        <is>
          <t>넘침 없음</t>
        </is>
      </c>
      <c r="K121" s="3" t="inlineStr"/>
      <c r="L121" s="13" t="inlineStr">
        <is>
          <t>Pass</t>
        </is>
      </c>
      <c r="M121" s="3" t="inlineStr">
        <is>
          <t>Chromium 1440x900 · mobile 390x844 · tablet 768x1024</t>
        </is>
      </c>
      <c r="N121" s="3" t="inlineStr">
        <is>
          <t>2026-08-25</t>
        </is>
      </c>
      <c r="O121" s="3" t="inlineStr">
        <is>
          <t>REQ-006</t>
        </is>
      </c>
      <c r="P121" s="3" t="inlineStr">
        <is>
          <t>넘침 없음</t>
        </is>
      </c>
      <c r="Q121" s="3" t="inlineStr">
        <is>
          <t>2순위</t>
        </is>
      </c>
    </row>
    <row r="122" ht="30" customHeight="1">
      <c r="A122" s="3" t="n">
        <v>121</v>
      </c>
      <c r="B122" s="3" t="inlineStr">
        <is>
          <t>TC-X23</t>
        </is>
      </c>
      <c r="C122" s="3" t="inlineStr">
        <is>
          <t>2차</t>
        </is>
      </c>
      <c r="D122" s="3" t="inlineStr">
        <is>
          <t>F-18</t>
        </is>
      </c>
      <c r="E122" s="3" t="inlineStr">
        <is>
          <t>공통</t>
        </is>
      </c>
      <c r="F122" s="3" t="inlineStr">
        <is>
          <t>경계</t>
        </is>
      </c>
      <c r="G122" s="3" t="inlineStr">
        <is>
          <t>tablet 768px 주요 5화면 가로 넘침</t>
        </is>
      </c>
      <c r="H122" s="3" t="inlineStr">
        <is>
          <t>수정 반영 후 로컬 dev</t>
        </is>
      </c>
      <c r="I122" s="3" t="inlineStr">
        <is>
          <t>API/브라우저로 직접 실행</t>
        </is>
      </c>
      <c r="J122" s="3" t="inlineStr">
        <is>
          <t>넘침 없음</t>
        </is>
      </c>
      <c r="K122" s="3" t="inlineStr"/>
      <c r="L122" s="13" t="inlineStr">
        <is>
          <t>Pass</t>
        </is>
      </c>
      <c r="M122" s="3" t="inlineStr">
        <is>
          <t>Chromium 1440x900 · mobile 390x844 · tablet 768x1024</t>
        </is>
      </c>
      <c r="N122" s="3" t="inlineStr">
        <is>
          <t>2026-08-25</t>
        </is>
      </c>
      <c r="O122" s="3" t="inlineStr">
        <is>
          <t>REQ-006</t>
        </is>
      </c>
      <c r="P122" s="3" t="inlineStr">
        <is>
          <t>넘침 없음</t>
        </is>
      </c>
      <c r="Q122" s="3" t="inlineStr">
        <is>
          <t>2순위</t>
        </is>
      </c>
    </row>
    <row r="123" ht="30" customHeight="1">
      <c r="A123" s="3" t="n">
        <v>122</v>
      </c>
      <c r="B123" s="3" t="inlineStr">
        <is>
          <t>TC-Y01</t>
        </is>
      </c>
      <c r="C123" s="3" t="inlineStr">
        <is>
          <t>2차</t>
        </is>
      </c>
      <c r="D123" s="3" t="inlineStr">
        <is>
          <t>F-01</t>
        </is>
      </c>
      <c r="E123" s="3" t="inlineStr">
        <is>
          <t>/projects</t>
        </is>
      </c>
      <c r="F123" s="3" t="inlineStr">
        <is>
          <t>정상</t>
        </is>
      </c>
      <c r="G123" s="3" t="inlineStr">
        <is>
          <t>프로젝트 카드 배지에서 '비보장' 제거</t>
        </is>
      </c>
      <c r="H123" s="3" t="inlineStr">
        <is>
          <t>수정 반영 후 로컬 dev</t>
        </is>
      </c>
      <c r="I123" s="3" t="inlineStr">
        <is>
          <t>브라우저로 직접 조작</t>
        </is>
      </c>
      <c r="J123" s="3" t="inlineStr">
        <is>
          <t>'비보장' 없음 · '목표 N%' 유지</t>
        </is>
      </c>
      <c r="K123" s="3" t="inlineStr"/>
      <c r="L123" s="13" t="inlineStr">
        <is>
          <t>Pass</t>
        </is>
      </c>
      <c r="M123" s="3" t="inlineStr">
        <is>
          <t>Chromium 1440x900 · mobile 390x844 · tablet 768x1024</t>
        </is>
      </c>
      <c r="N123" s="3" t="inlineStr">
        <is>
          <t>2026-08-25</t>
        </is>
      </c>
      <c r="O123" s="3" t="inlineStr">
        <is>
          <t>요청 1</t>
        </is>
      </c>
      <c r="P123" s="3" t="inlineStr">
        <is>
          <t>비보장 미검출 · 목표 배지 유지</t>
        </is>
      </c>
      <c r="Q123" s="3" t="inlineStr">
        <is>
          <t>2순위</t>
        </is>
      </c>
    </row>
    <row r="124" ht="30" customHeight="1">
      <c r="A124" s="3" t="n">
        <v>123</v>
      </c>
      <c r="B124" s="3" t="inlineStr">
        <is>
          <t>TC-Y02</t>
        </is>
      </c>
      <c r="C124" s="3" t="inlineStr">
        <is>
          <t>2차</t>
        </is>
      </c>
      <c r="D124" s="3" t="inlineStr">
        <is>
          <t>F-01</t>
        </is>
      </c>
      <c r="E124" s="3" t="inlineStr">
        <is>
          <t>/</t>
        </is>
      </c>
      <c r="F124" s="3" t="inlineStr">
        <is>
          <t>정상</t>
        </is>
      </c>
      <c r="G124" s="3" t="inlineStr">
        <is>
          <t>비회원 홈에서 진행 중 프로젝트 잠금</t>
        </is>
      </c>
      <c r="H124" s="3" t="inlineStr">
        <is>
          <t>수정 반영 후 로컬 dev</t>
        </is>
      </c>
      <c r="I124" s="3" t="inlineStr">
        <is>
          <t>브라우저로 직접 조작</t>
        </is>
      </c>
      <c r="J124" s="3" t="inlineStr">
        <is>
          <t>반투명 레이어 + 로그인 버튼 · 카드 클릭해도 이동 안 함</t>
        </is>
      </c>
      <c r="K124" s="3" t="inlineStr"/>
      <c r="L124" s="13" t="inlineStr">
        <is>
          <t>Pass</t>
        </is>
      </c>
      <c r="M124" s="3" t="inlineStr">
        <is>
          <t>Chromium 1440x900 · mobile 390x844 · tablet 768x1024</t>
        </is>
      </c>
      <c r="N124" s="3" t="inlineStr">
        <is>
          <t>2026-08-25</t>
        </is>
      </c>
      <c r="O124" s="3" t="inlineStr">
        <is>
          <t>요청 2</t>
        </is>
      </c>
      <c r="P124" s="3" t="inlineStr">
        <is>
          <t>오버레이 노출 · 카드 3장 · 이동 없음</t>
        </is>
      </c>
      <c r="Q124" s="3" t="inlineStr">
        <is>
          <t>2순위</t>
        </is>
      </c>
    </row>
    <row r="125" ht="30" customHeight="1">
      <c r="A125" s="3" t="n">
        <v>124</v>
      </c>
      <c r="B125" s="3" t="inlineStr">
        <is>
          <t>TC-Y03</t>
        </is>
      </c>
      <c r="C125" s="3" t="inlineStr">
        <is>
          <t>2차</t>
        </is>
      </c>
      <c r="D125" s="3" t="inlineStr">
        <is>
          <t>F-01</t>
        </is>
      </c>
      <c r="E125" s="3" t="inlineStr">
        <is>
          <t>/</t>
        </is>
      </c>
      <c r="F125" s="3" t="inlineStr">
        <is>
          <t>정상</t>
        </is>
      </c>
      <c r="G125" s="3" t="inlineStr">
        <is>
          <t>로그인 후 잠금 해제</t>
        </is>
      </c>
      <c r="H125" s="3" t="inlineStr">
        <is>
          <t>수정 반영 후 로컬 dev</t>
        </is>
      </c>
      <c r="I125" s="3" t="inlineStr">
        <is>
          <t>브라우저로 직접 조작</t>
        </is>
      </c>
      <c r="J125" s="3" t="inlineStr">
        <is>
          <t>오버레이 없음 · 카드로 상세 이동</t>
        </is>
      </c>
      <c r="K125" s="3" t="inlineStr"/>
      <c r="L125" s="13" t="inlineStr">
        <is>
          <t>Pass</t>
        </is>
      </c>
      <c r="M125" s="3" t="inlineStr">
        <is>
          <t>Chromium 1440x900 · mobile 390x844 · tablet 768x1024</t>
        </is>
      </c>
      <c r="N125" s="3" t="inlineStr">
        <is>
          <t>2026-08-25</t>
        </is>
      </c>
      <c r="O125" s="3" t="inlineStr">
        <is>
          <t>요청 2</t>
        </is>
      </c>
      <c r="P125" s="3" t="inlineStr">
        <is>
          <t>오버레이 없음 · /projects/[id] 이동</t>
        </is>
      </c>
      <c r="Q125" s="3" t="inlineStr">
        <is>
          <t>2순위</t>
        </is>
      </c>
    </row>
    <row r="126" ht="30" customHeight="1">
      <c r="A126" s="3" t="n">
        <v>125</v>
      </c>
      <c r="B126" s="3" t="inlineStr">
        <is>
          <t>TC-Y04</t>
        </is>
      </c>
      <c r="C126" s="3" t="inlineStr">
        <is>
          <t>2차</t>
        </is>
      </c>
      <c r="D126" s="3" t="inlineStr">
        <is>
          <t>F-04</t>
        </is>
      </c>
      <c r="E126" s="3" t="inlineStr">
        <is>
          <t>/projects/[id]</t>
        </is>
      </c>
      <c r="F126" s="3" t="inlineStr">
        <is>
          <t>정상</t>
        </is>
      </c>
      <c r="G126" s="3" t="inlineStr">
        <is>
          <t>기준가 카드 문구·값 교체</t>
        </is>
      </c>
      <c r="H126" s="3" t="inlineStr">
        <is>
          <t>수정 반영 후 로컬 dev</t>
        </is>
      </c>
      <c r="I126" s="3" t="inlineStr">
        <is>
          <t>브라우저로 직접 조작</t>
        </is>
      </c>
      <c r="J126" s="3" t="inlineStr">
        <is>
          <t>투자 배분 현황 · 내 배분 비율 · 총 배정 토큰 · 내 보유 토큰</t>
        </is>
      </c>
      <c r="K126" s="3" t="inlineStr"/>
      <c r="L126" s="13" t="inlineStr">
        <is>
          <t>Pass</t>
        </is>
      </c>
      <c r="M126" s="3" t="inlineStr">
        <is>
          <t>Chromium 1440x900 · mobile 390x844 · tablet 768x1024</t>
        </is>
      </c>
      <c r="N126" s="3" t="inlineStr">
        <is>
          <t>2026-08-25</t>
        </is>
      </c>
      <c r="O126" s="3" t="inlineStr">
        <is>
          <t>요청 3</t>
        </is>
      </c>
      <c r="P126" s="3" t="inlineStr">
        <is>
          <t>4개 모두 노출 · 옛 문구 4개 모두 제거</t>
        </is>
      </c>
      <c r="Q126" s="3" t="inlineStr">
        <is>
          <t>2순위</t>
        </is>
      </c>
    </row>
    <row r="127" ht="30" customHeight="1">
      <c r="A127" s="3" t="n">
        <v>126</v>
      </c>
      <c r="B127" s="3" t="inlineStr">
        <is>
          <t>TC-Y05</t>
        </is>
      </c>
      <c r="C127" s="3" t="inlineStr">
        <is>
          <t>2차</t>
        </is>
      </c>
      <c r="D127" s="3" t="inlineStr">
        <is>
          <t>F-04</t>
        </is>
      </c>
      <c r="E127" s="3" t="inlineStr">
        <is>
          <t>/projects/[id]</t>
        </is>
      </c>
      <c r="F127" s="3" t="inlineStr">
        <is>
          <t>정상</t>
        </is>
      </c>
      <c r="G127" s="3" t="inlineStr">
        <is>
          <t>미인증 계정의 신청 버튼 문구</t>
        </is>
      </c>
      <c r="H127" s="3" t="inlineStr">
        <is>
          <t>수정 반영 후 로컬 dev</t>
        </is>
      </c>
      <c r="I127" s="3" t="inlineStr">
        <is>
          <t>브라우저로 직접 조작</t>
        </is>
      </c>
      <c r="J127" s="3" t="inlineStr">
        <is>
          <t>'본인확인하고 신청하기'</t>
        </is>
      </c>
      <c r="K127" s="3" t="inlineStr"/>
      <c r="L127" s="13" t="inlineStr">
        <is>
          <t>Pass</t>
        </is>
      </c>
      <c r="M127" s="3" t="inlineStr">
        <is>
          <t>Chromium 1440x900 · mobile 390x844 · tablet 768x1024</t>
        </is>
      </c>
      <c r="N127" s="3" t="inlineStr">
        <is>
          <t>2026-08-25</t>
        </is>
      </c>
      <c r="O127" s="3" t="inlineStr">
        <is>
          <t>요청 4</t>
        </is>
      </c>
      <c r="P127" s="3" t="inlineStr">
        <is>
          <t>노출됨</t>
        </is>
      </c>
      <c r="Q127" s="3" t="inlineStr">
        <is>
          <t>2순위</t>
        </is>
      </c>
    </row>
    <row r="128" ht="30" customHeight="1">
      <c r="A128" s="3" t="n">
        <v>127</v>
      </c>
      <c r="B128" s="3" t="inlineStr">
        <is>
          <t>TC-Y06</t>
        </is>
      </c>
      <c r="C128" s="3" t="inlineStr">
        <is>
          <t>2차</t>
        </is>
      </c>
      <c r="D128" s="3" t="inlineStr">
        <is>
          <t>F-03</t>
        </is>
      </c>
      <c r="E128" s="3" t="inlineStr">
        <is>
          <t>/verify</t>
        </is>
      </c>
      <c r="F128" s="3" t="inlineStr">
        <is>
          <t>정상</t>
        </is>
      </c>
      <c r="G128" s="3" t="inlineStr">
        <is>
          <t>신청 → 본인확인 진입 (입력 금액 보존)</t>
        </is>
      </c>
      <c r="H128" s="3" t="inlineStr">
        <is>
          <t>수정 반영 후 로컬 dev</t>
        </is>
      </c>
      <c r="I128" s="3" t="inlineStr">
        <is>
          <t>브라우저로 직접 조작</t>
        </is>
      </c>
      <c r="J128" s="3" t="inlineStr">
        <is>
          <t>/verify?next=…amount=100000</t>
        </is>
      </c>
      <c r="K128" s="3" t="inlineStr"/>
      <c r="L128" s="13" t="inlineStr">
        <is>
          <t>Pass</t>
        </is>
      </c>
      <c r="M128" s="3" t="inlineStr">
        <is>
          <t>Chromium 1440x900 · mobile 390x844 · tablet 768x1024</t>
        </is>
      </c>
      <c r="N128" s="3" t="inlineStr">
        <is>
          <t>2026-08-25</t>
        </is>
      </c>
      <c r="O128" s="3" t="inlineStr">
        <is>
          <t>요청 4</t>
        </is>
      </c>
      <c r="P128" s="3" t="inlineStr">
        <is>
          <t>금액 보존 확인</t>
        </is>
      </c>
      <c r="Q128" s="3" t="inlineStr">
        <is>
          <t>2순위</t>
        </is>
      </c>
    </row>
    <row r="129" ht="30" customHeight="1">
      <c r="A129" s="3" t="n">
        <v>128</v>
      </c>
      <c r="B129" s="3" t="inlineStr">
        <is>
          <t>TC-Y07</t>
        </is>
      </c>
      <c r="C129" s="3" t="inlineStr">
        <is>
          <t>2차</t>
        </is>
      </c>
      <c r="D129" s="3" t="inlineStr">
        <is>
          <t>F-03</t>
        </is>
      </c>
      <c r="E129" s="3" t="inlineStr">
        <is>
          <t>/verify/mobile-id</t>
        </is>
      </c>
      <c r="F129" s="3" t="inlineStr">
        <is>
          <t>정상</t>
        </is>
      </c>
      <c r="G129" s="3" t="inlineStr">
        <is>
          <t>방법 선택 → 신분증 (next 유지)</t>
        </is>
      </c>
      <c r="H129" s="3" t="inlineStr">
        <is>
          <t>수정 반영 후 로컬 dev</t>
        </is>
      </c>
      <c r="I129" s="3" t="inlineStr">
        <is>
          <t>브라우저로 직접 조작</t>
        </is>
      </c>
      <c r="J129" s="3" t="inlineStr">
        <is>
          <t>/verify/mobile-id?next=…amount=100000</t>
        </is>
      </c>
      <c r="K129" s="3" t="inlineStr"/>
      <c r="L129" s="13" t="inlineStr">
        <is>
          <t>Pass</t>
        </is>
      </c>
      <c r="M129" s="3" t="inlineStr">
        <is>
          <t>Chromium 1440x900 · mobile 390x844 · tablet 768x1024</t>
        </is>
      </c>
      <c r="N129" s="3" t="inlineStr">
        <is>
          <t>2026-08-25</t>
        </is>
      </c>
      <c r="O129" s="3" t="inlineStr">
        <is>
          <t>요청 4</t>
        </is>
      </c>
      <c r="P129" s="3" t="inlineStr">
        <is>
          <t>next 유지 확인</t>
        </is>
      </c>
      <c r="Q129" s="3" t="inlineStr">
        <is>
          <t>2순위</t>
        </is>
      </c>
    </row>
    <row r="130" ht="30" customHeight="1">
      <c r="A130" s="3" t="n">
        <v>129</v>
      </c>
      <c r="B130" s="3" t="inlineStr">
        <is>
          <t>TC-Y08</t>
        </is>
      </c>
      <c r="C130" s="3" t="inlineStr">
        <is>
          <t>2차</t>
        </is>
      </c>
      <c r="D130" s="3" t="inlineStr">
        <is>
          <t>F-03</t>
        </is>
      </c>
      <c r="E130" s="3" t="inlineStr">
        <is>
          <t>/verify/account</t>
        </is>
      </c>
      <c r="F130" s="3" t="inlineStr">
        <is>
          <t>정상</t>
        </is>
      </c>
      <c r="G130" s="3" t="inlineStr">
        <is>
          <t>계좌 확인 화면에 시연 버튼 존재</t>
        </is>
      </c>
      <c r="H130" s="3" t="inlineStr">
        <is>
          <t>수정 반영 후 로컬 dev</t>
        </is>
      </c>
      <c r="I130" s="3" t="inlineStr">
        <is>
          <t>브라우저로 직접 조작</t>
        </is>
      </c>
      <c r="J130" s="3" t="inlineStr">
        <is>
          <t>'시연 넘어가기' 버튼</t>
        </is>
      </c>
      <c r="K130" s="3" t="inlineStr"/>
      <c r="L130" s="13" t="inlineStr">
        <is>
          <t>Pass</t>
        </is>
      </c>
      <c r="M130" s="3" t="inlineStr">
        <is>
          <t>Chromium 1440x900 · mobile 390x844 · tablet 768x1024</t>
        </is>
      </c>
      <c r="N130" s="3" t="inlineStr">
        <is>
          <t>2026-08-25</t>
        </is>
      </c>
      <c r="O130" s="3" t="inlineStr">
        <is>
          <t>요청 5</t>
        </is>
      </c>
      <c r="P130" s="3" t="inlineStr">
        <is>
          <t>있음</t>
        </is>
      </c>
      <c r="Q130" s="3" t="inlineStr">
        <is>
          <t>2순위</t>
        </is>
      </c>
    </row>
    <row r="131" ht="30" customHeight="1">
      <c r="A131" s="3" t="n">
        <v>130</v>
      </c>
      <c r="B131" s="3" t="inlineStr">
        <is>
          <t>TC-Y09</t>
        </is>
      </c>
      <c r="C131" s="3" t="inlineStr">
        <is>
          <t>2차</t>
        </is>
      </c>
      <c r="D131" s="3" t="inlineStr">
        <is>
          <t>F-03</t>
        </is>
      </c>
      <c r="E131" s="3" t="inlineStr">
        <is>
          <t>/verify/account</t>
        </is>
      </c>
      <c r="F131" s="3" t="inlineStr">
        <is>
          <t>정상</t>
        </is>
      </c>
      <c r="G131" s="3" t="inlineStr">
        <is>
          <t>시연 버튼 → 원래 신청으로 복귀</t>
        </is>
      </c>
      <c r="H131" s="3" t="inlineStr">
        <is>
          <t>수정 반영 후 로컬 dev</t>
        </is>
      </c>
      <c r="I131" s="3" t="inlineStr">
        <is>
          <t>브라우저로 직접 조작</t>
        </is>
      </c>
      <c r="J131" s="3" t="inlineStr">
        <is>
          <t>next 경로로 이동</t>
        </is>
      </c>
      <c r="K131" s="3" t="inlineStr"/>
      <c r="L131" s="13" t="inlineStr">
        <is>
          <t>Pass</t>
        </is>
      </c>
      <c r="M131" s="3" t="inlineStr">
        <is>
          <t>Chromium 1440x900 · mobile 390x844 · tablet 768x1024</t>
        </is>
      </c>
      <c r="N131" s="3" t="inlineStr">
        <is>
          <t>2026-08-25</t>
        </is>
      </c>
      <c r="O131" s="3" t="inlineStr">
        <is>
          <t>요청 5</t>
        </is>
      </c>
      <c r="P131" s="3" t="inlineStr">
        <is>
          <t>…/invest/eligibility?amount=100000</t>
        </is>
      </c>
      <c r="Q131" s="3" t="inlineStr">
        <is>
          <t>2순위</t>
        </is>
      </c>
    </row>
    <row r="132" ht="30" customHeight="1">
      <c r="A132" s="3" t="n">
        <v>131</v>
      </c>
      <c r="B132" s="3" t="inlineStr">
        <is>
          <t>TC-Y10</t>
        </is>
      </c>
      <c r="C132" s="3" t="inlineStr">
        <is>
          <t>2차</t>
        </is>
      </c>
      <c r="D132" s="3" t="inlineStr">
        <is>
          <t>F-03</t>
        </is>
      </c>
      <c r="E132" s="3" t="inlineStr">
        <is>
          <t>/verify/account</t>
        </is>
      </c>
      <c r="F132" s="3" t="inlineStr">
        <is>
          <t>정상</t>
        </is>
      </c>
      <c r="G132" s="3" t="inlineStr">
        <is>
          <t>시연 버튼이 계좌를 실제로 등록한다</t>
        </is>
      </c>
      <c r="H132" s="3" t="inlineStr">
        <is>
          <t>수정 반영 후 로컬 dev</t>
        </is>
      </c>
      <c r="I132" s="3" t="inlineStr">
        <is>
          <t>브라우저로 직접 조작</t>
        </is>
      </c>
      <c r="J132" s="3" t="inlineStr">
        <is>
          <t>BankAccount 1건</t>
        </is>
      </c>
      <c r="K132" s="3" t="inlineStr"/>
      <c r="L132" s="13" t="inlineStr">
        <is>
          <t>Pass</t>
        </is>
      </c>
      <c r="M132" s="3" t="inlineStr">
        <is>
          <t>Chromium 1440x900 · mobile 390x844 · tablet 768x1024</t>
        </is>
      </c>
      <c r="N132" s="3" t="inlineStr">
        <is>
          <t>2026-08-25</t>
        </is>
      </c>
      <c r="O132" s="3" t="inlineStr">
        <is>
          <t>요청 5</t>
        </is>
      </c>
      <c r="P132" s="3" t="inlineStr">
        <is>
          <t>1건 등록됨</t>
        </is>
      </c>
      <c r="Q132" s="3" t="inlineStr">
        <is>
          <t>2순위</t>
        </is>
      </c>
    </row>
    <row r="133">
      <c r="A133" s="3" t="n">
        <v>133</v>
      </c>
      <c r="B133" s="3" t="inlineStr">
        <is>
          <t>TC-X01</t>
        </is>
      </c>
      <c r="C133" s="3" t="inlineStr">
        <is>
          <t>3차</t>
        </is>
      </c>
      <c r="D133" s="3" t="inlineStr">
        <is>
          <t>F-13</t>
        </is>
      </c>
      <c r="E133" s="3" t="inlineStr">
        <is>
          <t>/api/optimization/[id]</t>
        </is>
      </c>
      <c r="F133" s="3" t="inlineStr">
        <is>
          <t>예외</t>
        </is>
      </c>
      <c r="G133" s="3" t="inlineStr">
        <is>
          <t>비회원이 생육 최적화 API 조회</t>
        </is>
      </c>
      <c r="H133" s="3" t="inlineStr">
        <is>
          <t>배포본 e81d8a05 · https://farmfi.co.kr</t>
        </is>
      </c>
      <c r="I133" s="3" t="inlineStr">
        <is>
          <t>API/브라우저로 직접 실행</t>
        </is>
      </c>
      <c r="J133" s="3" t="inlineStr">
        <is>
          <t>401 Unauthorized</t>
        </is>
      </c>
      <c r="K133" s="3" t="n"/>
      <c r="L133" s="13" t="inlineStr">
        <is>
          <t>Pass</t>
        </is>
      </c>
      <c r="M133" s="3" t="inlineStr">
        <is>
          <t>Chromium 1440x900 · mobile 390x844 · tablet 768x1024</t>
        </is>
      </c>
      <c r="N133" s="3" t="inlineStr">
        <is>
          <t>2026-08-26</t>
        </is>
      </c>
      <c r="O133" s="3" t="inlineStr">
        <is>
          <t>REQ-005</t>
        </is>
      </c>
      <c r="P133" s="3" t="inlineStr">
        <is>
          <t>401</t>
        </is>
      </c>
      <c r="Q133" s="3" t="inlineStr">
        <is>
          <t>1순위</t>
        </is>
      </c>
    </row>
    <row r="134">
      <c r="A134" s="3" t="n">
        <v>134</v>
      </c>
      <c r="B134" s="3" t="inlineStr">
        <is>
          <t>TC-X02</t>
        </is>
      </c>
      <c r="C134" s="3" t="inlineStr">
        <is>
          <t>3차</t>
        </is>
      </c>
      <c r="D134" s="3" t="inlineStr">
        <is>
          <t>F-13</t>
        </is>
      </c>
      <c r="E134" s="3" t="inlineStr">
        <is>
          <t>/api/briefing/[id]</t>
        </is>
      </c>
      <c r="F134" s="3" t="inlineStr">
        <is>
          <t>예외</t>
        </is>
      </c>
      <c r="G134" s="3" t="inlineStr">
        <is>
          <t>비회원이 브리핑 API 조회</t>
        </is>
      </c>
      <c r="H134" s="3" t="inlineStr">
        <is>
          <t>배포본 e81d8a05 · https://farmfi.co.kr</t>
        </is>
      </c>
      <c r="I134" s="3" t="inlineStr">
        <is>
          <t>API/브라우저로 직접 실행</t>
        </is>
      </c>
      <c r="J134" s="3" t="inlineStr">
        <is>
          <t>401 Unauthorized</t>
        </is>
      </c>
      <c r="K134" s="3" t="n"/>
      <c r="L134" s="13" t="inlineStr">
        <is>
          <t>Pass</t>
        </is>
      </c>
      <c r="M134" s="3" t="inlineStr">
        <is>
          <t>Chromium 1440x900 · mobile 390x844 · tablet 768x1024</t>
        </is>
      </c>
      <c r="N134" s="3" t="inlineStr">
        <is>
          <t>2026-08-26</t>
        </is>
      </c>
      <c r="O134" s="3" t="inlineStr">
        <is>
          <t>REQ-005</t>
        </is>
      </c>
      <c r="P134" s="3" t="inlineStr">
        <is>
          <t>401</t>
        </is>
      </c>
      <c r="Q134" s="3" t="inlineStr">
        <is>
          <t>1순위</t>
        </is>
      </c>
    </row>
    <row r="135">
      <c r="A135" s="3" t="n">
        <v>135</v>
      </c>
      <c r="B135" s="3" t="inlineStr">
        <is>
          <t>TC-X03</t>
        </is>
      </c>
      <c r="C135" s="3" t="inlineStr">
        <is>
          <t>3차</t>
        </is>
      </c>
      <c r="D135" s="3" t="inlineStr">
        <is>
          <t>F-13</t>
        </is>
      </c>
      <c r="E135" s="3" t="inlineStr">
        <is>
          <t>/api/optimization/[id]</t>
        </is>
      </c>
      <c r="F135" s="3" t="inlineStr">
        <is>
          <t>예외</t>
        </is>
      </c>
      <c r="G135" s="3" t="inlineStr">
        <is>
          <t>투자자가 남의 지점 최적화 API 조회</t>
        </is>
      </c>
      <c r="H135" s="3" t="inlineStr">
        <is>
          <t>배포본 e81d8a05 · https://farmfi.co.kr</t>
        </is>
      </c>
      <c r="I135" s="3" t="inlineStr">
        <is>
          <t>API/브라우저로 직접 실행</t>
        </is>
      </c>
      <c r="J135" s="3" t="inlineStr">
        <is>
          <t>403 배정되지 않은 매장</t>
        </is>
      </c>
      <c r="K135" s="3" t="n"/>
      <c r="L135" s="13" t="inlineStr">
        <is>
          <t>Pass</t>
        </is>
      </c>
      <c r="M135" s="3" t="inlineStr">
        <is>
          <t>Chromium 1440x900 · mobile 390x844 · tablet 768x1024</t>
        </is>
      </c>
      <c r="N135" s="3" t="inlineStr">
        <is>
          <t>2026-08-26</t>
        </is>
      </c>
      <c r="O135" s="3" t="inlineStr">
        <is>
          <t>REQ-005</t>
        </is>
      </c>
      <c r="P135" s="3" t="inlineStr">
        <is>
          <t>403</t>
        </is>
      </c>
      <c r="Q135" s="3" t="inlineStr">
        <is>
          <t>1순위</t>
        </is>
      </c>
    </row>
    <row r="136">
      <c r="A136" s="3" t="n">
        <v>136</v>
      </c>
      <c r="B136" s="3" t="inlineStr">
        <is>
          <t>TC-X04</t>
        </is>
      </c>
      <c r="C136" s="3" t="inlineStr">
        <is>
          <t>3차</t>
        </is>
      </c>
      <c r="D136" s="3" t="inlineStr">
        <is>
          <t>F-13</t>
        </is>
      </c>
      <c r="E136" s="3" t="inlineStr">
        <is>
          <t>/api/optimization/[id]</t>
        </is>
      </c>
      <c r="F136" s="3" t="inlineStr">
        <is>
          <t>정상</t>
        </is>
      </c>
      <c r="G136" s="3" t="inlineStr">
        <is>
          <t>배정 운영자가 최적화 API 조회 (정상 경로 유지)</t>
        </is>
      </c>
      <c r="H136" s="3" t="inlineStr">
        <is>
          <t>배포본 e81d8a05 · https://farmfi.co.kr</t>
        </is>
      </c>
      <c r="I136" s="3" t="inlineStr">
        <is>
          <t>API/브라우저로 직접 실행</t>
        </is>
      </c>
      <c r="J136" s="3" t="inlineStr">
        <is>
          <t>200</t>
        </is>
      </c>
      <c r="K136" s="3" t="n"/>
      <c r="L136" s="13" t="inlineStr">
        <is>
          <t>Pass</t>
        </is>
      </c>
      <c r="M136" s="3" t="inlineStr">
        <is>
          <t>Chromium 1440x900 · mobile 390x844 · tablet 768x1024</t>
        </is>
      </c>
      <c r="N136" s="3" t="inlineStr">
        <is>
          <t>2026-08-26</t>
        </is>
      </c>
      <c r="O136" s="3" t="inlineStr">
        <is>
          <t>REQ-005</t>
        </is>
      </c>
      <c r="P136" s="3" t="inlineStr">
        <is>
          <t>200</t>
        </is>
      </c>
      <c r="Q136" s="3" t="inlineStr">
        <is>
          <t>2순위</t>
        </is>
      </c>
    </row>
    <row r="137">
      <c r="A137" s="3" t="n">
        <v>137</v>
      </c>
      <c r="B137" s="3" t="inlineStr">
        <is>
          <t>TC-X05</t>
        </is>
      </c>
      <c r="C137" s="3" t="inlineStr">
        <is>
          <t>3차</t>
        </is>
      </c>
      <c r="D137" s="3" t="inlineStr">
        <is>
          <t>F-13</t>
        </is>
      </c>
      <c r="E137" s="3" t="inlineStr">
        <is>
          <t>/optimization/[id]</t>
        </is>
      </c>
      <c r="F137" s="3" t="inlineStr">
        <is>
          <t>예외</t>
        </is>
      </c>
      <c r="G137" s="3" t="inlineStr">
        <is>
          <t>비회원이 최적화 화면 진입</t>
        </is>
      </c>
      <c r="H137" s="3" t="inlineStr">
        <is>
          <t>배포본 e81d8a05 · https://farmfi.co.kr</t>
        </is>
      </c>
      <c r="I137" s="3" t="inlineStr">
        <is>
          <t>API/브라우저로 직접 실행</t>
        </is>
      </c>
      <c r="J137" s="3" t="inlineStr">
        <is>
          <t>/login 으로 이동</t>
        </is>
      </c>
      <c r="K137" s="3" t="n"/>
      <c r="L137" s="13" t="inlineStr">
        <is>
          <t>Pass</t>
        </is>
      </c>
      <c r="M137" s="3" t="inlineStr">
        <is>
          <t>Chromium 1440x900 · mobile 390x844 · tablet 768x1024</t>
        </is>
      </c>
      <c r="N137" s="3" t="inlineStr">
        <is>
          <t>2026-08-26</t>
        </is>
      </c>
      <c r="O137" s="3" t="inlineStr">
        <is>
          <t>REQ-005</t>
        </is>
      </c>
      <c r="P137" s="3" t="inlineStr">
        <is>
          <t>/login?next=/operator</t>
        </is>
      </c>
      <c r="Q137" s="3" t="inlineStr">
        <is>
          <t>1순위</t>
        </is>
      </c>
    </row>
    <row r="138">
      <c r="A138" s="3" t="n">
        <v>138</v>
      </c>
      <c r="B138" s="3" t="inlineStr">
        <is>
          <t>TC-X06</t>
        </is>
      </c>
      <c r="C138" s="3" t="inlineStr">
        <is>
          <t>3차</t>
        </is>
      </c>
      <c r="D138" s="3" t="inlineStr">
        <is>
          <t>F-13</t>
        </is>
      </c>
      <c r="E138" s="3" t="inlineStr">
        <is>
          <t>/optimization/[id]</t>
        </is>
      </c>
      <c r="F138" s="3" t="inlineStr">
        <is>
          <t>예외</t>
        </is>
      </c>
      <c r="G138" s="3" t="inlineStr">
        <is>
          <t>투자자가 최적화 화면 진입</t>
        </is>
      </c>
      <c r="H138" s="3" t="inlineStr">
        <is>
          <t>배포본 e81d8a05 · https://farmfi.co.kr</t>
        </is>
      </c>
      <c r="I138" s="3" t="inlineStr">
        <is>
          <t>API/브라우저로 직접 실행</t>
        </is>
      </c>
      <c r="J138" s="3" t="inlineStr">
        <is>
          <t>자기 역할 홈으로 이동</t>
        </is>
      </c>
      <c r="K138" s="3" t="n"/>
      <c r="L138" s="13" t="inlineStr">
        <is>
          <t>Pass</t>
        </is>
      </c>
      <c r="M138" s="3" t="inlineStr">
        <is>
          <t>Chromium 1440x900 · mobile 390x844 · tablet 768x1024</t>
        </is>
      </c>
      <c r="N138" s="3" t="inlineStr">
        <is>
          <t>2026-08-26</t>
        </is>
      </c>
      <c r="O138" s="3" t="inlineStr">
        <is>
          <t>REQ-005</t>
        </is>
      </c>
      <c r="P138" s="3" t="inlineStr">
        <is>
          <t>/investor</t>
        </is>
      </c>
      <c r="Q138" s="3" t="inlineStr">
        <is>
          <t>1순위</t>
        </is>
      </c>
    </row>
    <row r="139">
      <c r="A139" s="3" t="n">
        <v>139</v>
      </c>
      <c r="B139" s="3" t="inlineStr">
        <is>
          <t>TC-X07</t>
        </is>
      </c>
      <c r="C139" s="3" t="inlineStr">
        <is>
          <t>3차</t>
        </is>
      </c>
      <c r="D139" s="3" t="inlineStr">
        <is>
          <t>F-17</t>
        </is>
      </c>
      <c r="E139" s="3" t="inlineStr">
        <is>
          <t>/admin</t>
        </is>
      </c>
      <c r="F139" s="3" t="inlineStr">
        <is>
          <t>예외</t>
        </is>
      </c>
      <c r="G139" s="3" t="inlineStr">
        <is>
          <t>투자자 세션으로 /admin 진입</t>
        </is>
      </c>
      <c r="H139" s="3" t="inlineStr">
        <is>
          <t>배포본 e81d8a05 · https://farmfi.co.kr</t>
        </is>
      </c>
      <c r="I139" s="3" t="inlineStr">
        <is>
          <t>API/브라우저로 직접 실행</t>
        </is>
      </c>
      <c r="J139" s="3" t="inlineStr">
        <is>
          <t>/investor 로 리다이렉트</t>
        </is>
      </c>
      <c r="K139" s="3" t="n"/>
      <c r="L139" s="13" t="inlineStr">
        <is>
          <t>Pass</t>
        </is>
      </c>
      <c r="M139" s="3" t="inlineStr">
        <is>
          <t>Chromium 1440x900 · mobile 390x844 · tablet 768x1024</t>
        </is>
      </c>
      <c r="N139" s="3" t="inlineStr">
        <is>
          <t>2026-08-26</t>
        </is>
      </c>
      <c r="O139" s="3" t="inlineStr">
        <is>
          <t>REQ-004</t>
        </is>
      </c>
      <c r="P139" s="3" t="inlineStr">
        <is>
          <t>/investor</t>
        </is>
      </c>
      <c r="Q139" s="3" t="inlineStr">
        <is>
          <t>1순위</t>
        </is>
      </c>
    </row>
    <row r="140">
      <c r="A140" s="3" t="n">
        <v>140</v>
      </c>
      <c r="B140" s="3" t="inlineStr">
        <is>
          <t>TC-X08</t>
        </is>
      </c>
      <c r="C140" s="3" t="inlineStr">
        <is>
          <t>3차</t>
        </is>
      </c>
      <c r="D140" s="3" t="inlineStr">
        <is>
          <t>F-17</t>
        </is>
      </c>
      <c r="E140" s="3" t="inlineStr">
        <is>
          <t>/admin/ledger</t>
        </is>
      </c>
      <c r="F140" s="3" t="inlineStr">
        <is>
          <t>예외</t>
        </is>
      </c>
      <c r="G140" s="3" t="inlineStr">
        <is>
          <t>투자자 세션으로 /admin/ledger 진입</t>
        </is>
      </c>
      <c r="H140" s="3" t="inlineStr">
        <is>
          <t>배포본 e81d8a05 · https://farmfi.co.kr</t>
        </is>
      </c>
      <c r="I140" s="3" t="inlineStr">
        <is>
          <t>API/브라우저로 직접 실행</t>
        </is>
      </c>
      <c r="J140" s="3" t="inlineStr">
        <is>
          <t>/investor 로 리다이렉트</t>
        </is>
      </c>
      <c r="K140" s="3" t="n"/>
      <c r="L140" s="13" t="inlineStr">
        <is>
          <t>Pass</t>
        </is>
      </c>
      <c r="M140" s="3" t="inlineStr">
        <is>
          <t>Chromium 1440x900 · mobile 390x844 · tablet 768x1024</t>
        </is>
      </c>
      <c r="N140" s="3" t="inlineStr">
        <is>
          <t>2026-08-26</t>
        </is>
      </c>
      <c r="O140" s="3" t="inlineStr">
        <is>
          <t>REQ-004</t>
        </is>
      </c>
      <c r="P140" s="3" t="inlineStr">
        <is>
          <t>/investor</t>
        </is>
      </c>
      <c r="Q140" s="3" t="inlineStr">
        <is>
          <t>1순위</t>
        </is>
      </c>
    </row>
    <row r="141">
      <c r="A141" s="3" t="n">
        <v>141</v>
      </c>
      <c r="B141" s="3" t="inlineStr">
        <is>
          <t>TC-X09</t>
        </is>
      </c>
      <c r="C141" s="3" t="inlineStr">
        <is>
          <t>3차</t>
        </is>
      </c>
      <c r="D141" s="3" t="inlineStr">
        <is>
          <t>F-17</t>
        </is>
      </c>
      <c r="E141" s="3" t="inlineStr">
        <is>
          <t>/operator/milestones</t>
        </is>
      </c>
      <c r="F141" s="3" t="inlineStr">
        <is>
          <t>예외</t>
        </is>
      </c>
      <c r="G141" s="3" t="inlineStr">
        <is>
          <t>투자자 세션으로 운영자 화면 진입</t>
        </is>
      </c>
      <c r="H141" s="3" t="inlineStr">
        <is>
          <t>배포본 e81d8a05 · https://farmfi.co.kr</t>
        </is>
      </c>
      <c r="I141" s="3" t="inlineStr">
        <is>
          <t>API/브라우저로 직접 실행</t>
        </is>
      </c>
      <c r="J141" s="3" t="inlineStr">
        <is>
          <t>/investor 로 리다이렉트</t>
        </is>
      </c>
      <c r="K141" s="3" t="n"/>
      <c r="L141" s="13" t="inlineStr">
        <is>
          <t>Pass</t>
        </is>
      </c>
      <c r="M141" s="3" t="inlineStr">
        <is>
          <t>Chromium 1440x900 · mobile 390x844 · tablet 768x1024</t>
        </is>
      </c>
      <c r="N141" s="3" t="inlineStr">
        <is>
          <t>2026-08-26</t>
        </is>
      </c>
      <c r="O141" s="3" t="inlineStr">
        <is>
          <t>REQ-004</t>
        </is>
      </c>
      <c r="P141" s="3" t="inlineStr">
        <is>
          <t>/investor</t>
        </is>
      </c>
      <c r="Q141" s="3" t="inlineStr">
        <is>
          <t>1순위</t>
        </is>
      </c>
    </row>
    <row r="142">
      <c r="A142" s="3" t="n">
        <v>142</v>
      </c>
      <c r="B142" s="3" t="inlineStr">
        <is>
          <t>TC-X10</t>
        </is>
      </c>
      <c r="C142" s="3" t="inlineStr">
        <is>
          <t>3차</t>
        </is>
      </c>
      <c r="D142" s="3" t="inlineStr">
        <is>
          <t>F-17</t>
        </is>
      </c>
      <c r="E142" s="3" t="inlineStr">
        <is>
          <t>/landlord</t>
        </is>
      </c>
      <c r="F142" s="3" t="inlineStr">
        <is>
          <t>예외</t>
        </is>
      </c>
      <c r="G142" s="3" t="inlineStr">
        <is>
          <t>투자자 세션으로 임대인 화면 진입</t>
        </is>
      </c>
      <c r="H142" s="3" t="inlineStr">
        <is>
          <t>배포본 e81d8a05 · https://farmfi.co.kr</t>
        </is>
      </c>
      <c r="I142" s="3" t="inlineStr">
        <is>
          <t>API/브라우저로 직접 실행</t>
        </is>
      </c>
      <c r="J142" s="3" t="inlineStr">
        <is>
          <t>/investor 로 리다이렉트</t>
        </is>
      </c>
      <c r="K142" s="3" t="n"/>
      <c r="L142" s="13" t="inlineStr">
        <is>
          <t>Pass</t>
        </is>
      </c>
      <c r="M142" s="3" t="inlineStr">
        <is>
          <t>Chromium 1440x900 · mobile 390x844 · tablet 768x1024</t>
        </is>
      </c>
      <c r="N142" s="3" t="inlineStr">
        <is>
          <t>2026-08-26</t>
        </is>
      </c>
      <c r="O142" s="3" t="inlineStr">
        <is>
          <t>REQ-004</t>
        </is>
      </c>
      <c r="P142" s="3" t="inlineStr">
        <is>
          <t>/investor</t>
        </is>
      </c>
      <c r="Q142" s="3" t="inlineStr">
        <is>
          <t>1순위</t>
        </is>
      </c>
    </row>
    <row r="143">
      <c r="A143" s="3" t="n">
        <v>143</v>
      </c>
      <c r="B143" s="3" t="inlineStr">
        <is>
          <t>TC-X11</t>
        </is>
      </c>
      <c r="C143" s="3" t="inlineStr">
        <is>
          <t>3차</t>
        </is>
      </c>
      <c r="D143" s="3" t="inlineStr">
        <is>
          <t>F-14</t>
        </is>
      </c>
      <c r="E143" s="3" t="inlineStr">
        <is>
          <t>/admin</t>
        </is>
      </c>
      <c r="F143" s="3" t="inlineStr">
        <is>
          <t>정상</t>
        </is>
      </c>
      <c r="G143" s="3" t="inlineStr">
        <is>
          <t>관리자가 /admin 진입 (정상 경로 유지)</t>
        </is>
      </c>
      <c r="H143" s="3" t="inlineStr">
        <is>
          <t>배포본 e81d8a05 · https://farmfi.co.kr</t>
        </is>
      </c>
      <c r="I143" s="3" t="inlineStr">
        <is>
          <t>API/브라우저로 직접 실행</t>
        </is>
      </c>
      <c r="J143" s="3" t="inlineStr">
        <is>
          <t>그대로 열림</t>
        </is>
      </c>
      <c r="K143" s="3" t="n"/>
      <c r="L143" s="13" t="inlineStr">
        <is>
          <t>Pass</t>
        </is>
      </c>
      <c r="M143" s="3" t="inlineStr">
        <is>
          <t>Chromium 1440x900 · mobile 390x844 · tablet 768x1024</t>
        </is>
      </c>
      <c r="N143" s="3" t="inlineStr">
        <is>
          <t>2026-08-26</t>
        </is>
      </c>
      <c r="O143" s="3" t="inlineStr">
        <is>
          <t>REQ-004</t>
        </is>
      </c>
      <c r="P143" s="3" t="inlineStr">
        <is>
          <t>/admin</t>
        </is>
      </c>
      <c r="Q143" s="3" t="inlineStr">
        <is>
          <t>2순위</t>
        </is>
      </c>
    </row>
    <row r="144">
      <c r="A144" s="3" t="n">
        <v>144</v>
      </c>
      <c r="B144" s="3" t="inlineStr">
        <is>
          <t>TC-X12</t>
        </is>
      </c>
      <c r="C144" s="3" t="inlineStr">
        <is>
          <t>3차</t>
        </is>
      </c>
      <c r="D144" s="3" t="inlineStr">
        <is>
          <t>F-11</t>
        </is>
      </c>
      <c r="E144" s="3" t="inlineStr">
        <is>
          <t>/operator/milestones</t>
        </is>
      </c>
      <c r="F144" s="3" t="inlineStr">
        <is>
          <t>정상</t>
        </is>
      </c>
      <c r="G144" s="3" t="inlineStr">
        <is>
          <t>운영자가 운영자 화면 진입 (정상 경로 유지)</t>
        </is>
      </c>
      <c r="H144" s="3" t="inlineStr">
        <is>
          <t>배포본 e81d8a05 · https://farmfi.co.kr</t>
        </is>
      </c>
      <c r="I144" s="3" t="inlineStr">
        <is>
          <t>API/브라우저로 직접 실행</t>
        </is>
      </c>
      <c r="J144" s="3" t="inlineStr">
        <is>
          <t>그대로 열림</t>
        </is>
      </c>
      <c r="K144" s="3" t="n"/>
      <c r="L144" s="13" t="inlineStr">
        <is>
          <t>Pass</t>
        </is>
      </c>
      <c r="M144" s="3" t="inlineStr">
        <is>
          <t>Chromium 1440x900 · mobile 390x844 · tablet 768x1024</t>
        </is>
      </c>
      <c r="N144" s="3" t="inlineStr">
        <is>
          <t>2026-08-26</t>
        </is>
      </c>
      <c r="O144" s="3" t="inlineStr">
        <is>
          <t>REQ-004</t>
        </is>
      </c>
      <c r="P144" s="3" t="inlineStr">
        <is>
          <t>/operator/milestones</t>
        </is>
      </c>
      <c r="Q144" s="3" t="inlineStr">
        <is>
          <t>2순위</t>
        </is>
      </c>
    </row>
    <row r="145">
      <c r="A145" s="3" t="n">
        <v>145</v>
      </c>
      <c r="B145" s="3" t="inlineStr">
        <is>
          <t>TC-X13</t>
        </is>
      </c>
      <c r="C145" s="3" t="inlineStr">
        <is>
          <t>3차</t>
        </is>
      </c>
      <c r="D145" s="3" t="inlineStr">
        <is>
          <t>F-06</t>
        </is>
      </c>
      <c r="E145" s="3" t="inlineStr">
        <is>
          <t>/api/subscribe</t>
        </is>
      </c>
      <c r="F145" s="3" t="inlineStr">
        <is>
          <t>예외</t>
        </is>
      </c>
      <c r="G145" s="3" t="inlineStr">
        <is>
          <t>우회 라우트 직접 호출</t>
        </is>
      </c>
      <c r="H145" s="3" t="inlineStr">
        <is>
          <t>배포본 e81d8a05 · https://farmfi.co.kr</t>
        </is>
      </c>
      <c r="I145" s="3" t="inlineStr">
        <is>
          <t>API/브라우저로 직접 실행</t>
        </is>
      </c>
      <c r="J145" s="3" t="inlineStr">
        <is>
          <t>404 (라우트 없음)</t>
        </is>
      </c>
      <c r="K145" s="3" t="n"/>
      <c r="L145" s="13" t="inlineStr">
        <is>
          <t>Pass</t>
        </is>
      </c>
      <c r="M145" s="3" t="inlineStr">
        <is>
          <t>Chromium 1440x900 · mobile 390x844 · tablet 768x1024</t>
        </is>
      </c>
      <c r="N145" s="3" t="inlineStr">
        <is>
          <t>2026-08-26</t>
        </is>
      </c>
      <c r="O145" s="3" t="inlineStr">
        <is>
          <t>REQ-002</t>
        </is>
      </c>
      <c r="P145" s="3" t="inlineStr">
        <is>
          <t>404</t>
        </is>
      </c>
      <c r="Q145" s="3" t="inlineStr">
        <is>
          <t>1순위</t>
        </is>
      </c>
    </row>
    <row r="146">
      <c r="A146" s="3" t="n">
        <v>146</v>
      </c>
      <c r="B146" s="3" t="inlineStr">
        <is>
          <t>TC-X14</t>
        </is>
      </c>
      <c r="C146" s="3" t="inlineStr">
        <is>
          <t>3차</t>
        </is>
      </c>
      <c r="D146" s="3" t="inlineStr">
        <is>
          <t>F-12</t>
        </is>
      </c>
      <c r="E146" s="3" t="inlineStr">
        <is>
          <t>O-11</t>
        </is>
      </c>
      <c r="F146" s="3" t="inlineStr">
        <is>
          <t>예외</t>
        </is>
      </c>
      <c r="G146" s="3" t="inlineStr">
        <is>
          <t>미배정 지점(operatorId 없음)에 증빙 제출</t>
        </is>
      </c>
      <c r="H146" s="3" t="inlineStr">
        <is>
          <t>배포본 e81d8a05 · https://farmfi.co.kr</t>
        </is>
      </c>
      <c r="I146" s="3" t="inlineStr">
        <is>
          <t>API/브라우저로 직접 실행</t>
        </is>
      </c>
      <c r="J146" s="3" t="inlineStr">
        <is>
          <t>403</t>
        </is>
      </c>
      <c r="K146" s="3" t="n"/>
      <c r="L146" s="13" t="inlineStr">
        <is>
          <t>Pass</t>
        </is>
      </c>
      <c r="M146" s="3" t="inlineStr">
        <is>
          <t>Chromium 1440x900 · mobile 390x844 · tablet 768x1024</t>
        </is>
      </c>
      <c r="N146" s="3" t="inlineStr">
        <is>
          <t>2026-08-26</t>
        </is>
      </c>
      <c r="O146" s="3" t="inlineStr">
        <is>
          <t>REQ-003</t>
        </is>
      </c>
      <c r="P146" s="3" t="inlineStr">
        <is>
          <t>403 배정된 지점의 운영자만 제출할 수 있습니다</t>
        </is>
      </c>
      <c r="Q146" s="3" t="inlineStr">
        <is>
          <t>1순위</t>
        </is>
      </c>
    </row>
    <row r="147">
      <c r="A147" s="3" t="n">
        <v>147</v>
      </c>
      <c r="B147" s="3" t="inlineStr">
        <is>
          <t>TC-X15</t>
        </is>
      </c>
      <c r="C147" s="3" t="inlineStr">
        <is>
          <t>3차</t>
        </is>
      </c>
      <c r="D147" s="3" t="inlineStr">
        <is>
          <t>F-12</t>
        </is>
      </c>
      <c r="E147" s="3" t="inlineStr">
        <is>
          <t>O-11</t>
        </is>
      </c>
      <c r="F147" s="3" t="inlineStr">
        <is>
          <t>예외</t>
        </is>
      </c>
      <c r="G147" s="3" t="inlineStr">
        <is>
          <t>남의 배정 지점에 증빙 제출</t>
        </is>
      </c>
      <c r="H147" s="3" t="inlineStr">
        <is>
          <t>배포본 e81d8a05 · https://farmfi.co.kr</t>
        </is>
      </c>
      <c r="I147" s="3" t="inlineStr">
        <is>
          <t>API/브라우저로 직접 실행</t>
        </is>
      </c>
      <c r="J147" s="3" t="inlineStr">
        <is>
          <t>403</t>
        </is>
      </c>
      <c r="K147" s="3" t="n"/>
      <c r="L147" s="13" t="inlineStr">
        <is>
          <t>Pass</t>
        </is>
      </c>
      <c r="M147" s="3" t="inlineStr">
        <is>
          <t>Chromium 1440x900 · mobile 390x844 · tablet 768x1024</t>
        </is>
      </c>
      <c r="N147" s="3" t="inlineStr">
        <is>
          <t>2026-08-26</t>
        </is>
      </c>
      <c r="O147" s="3" t="inlineStr">
        <is>
          <t>REQ-003</t>
        </is>
      </c>
      <c r="P147" s="3" t="inlineStr">
        <is>
          <t>403 배정된 지점의 운영자만 제출할 수 있습니다</t>
        </is>
      </c>
      <c r="Q147" s="3" t="inlineStr">
        <is>
          <t>1순위</t>
        </is>
      </c>
    </row>
    <row r="148">
      <c r="A148" s="3" t="n">
        <v>148</v>
      </c>
      <c r="B148" s="3" t="inlineStr">
        <is>
          <t>TC-X16</t>
        </is>
      </c>
      <c r="C148" s="3" t="inlineStr">
        <is>
          <t>3차</t>
        </is>
      </c>
      <c r="D148" s="3" t="inlineStr">
        <is>
          <t>F-12</t>
        </is>
      </c>
      <c r="E148" s="3" t="inlineStr">
        <is>
          <t>O-11</t>
        </is>
      </c>
      <c r="F148" s="3" t="inlineStr">
        <is>
          <t>정상</t>
        </is>
      </c>
      <c r="G148" s="3" t="inlineStr">
        <is>
          <t>배정 운영자 증빙 제출 (정상 경로 유지)</t>
        </is>
      </c>
      <c r="H148" s="3" t="inlineStr">
        <is>
          <t>배포본 e81d8a05 · https://farmfi.co.kr</t>
        </is>
      </c>
      <c r="I148" s="3" t="inlineStr">
        <is>
          <t>API/브라우저로 직접 실행</t>
        </is>
      </c>
      <c r="J148" s="3" t="inlineStr">
        <is>
          <t>200 · evidence_submitted</t>
        </is>
      </c>
      <c r="K148" s="3" t="n"/>
      <c r="L148" s="13" t="inlineStr">
        <is>
          <t>Pass</t>
        </is>
      </c>
      <c r="M148" s="3" t="inlineStr">
        <is>
          <t>Chromium 1440x900 · mobile 390x844 · tablet 768x1024</t>
        </is>
      </c>
      <c r="N148" s="3" t="inlineStr">
        <is>
          <t>2026-08-26</t>
        </is>
      </c>
      <c r="O148" s="3" t="inlineStr">
        <is>
          <t>REQ-003</t>
        </is>
      </c>
      <c r="P148" s="3" t="inlineStr">
        <is>
          <t>200 · evidence_submitted</t>
        </is>
      </c>
      <c r="Q148" s="3" t="inlineStr">
        <is>
          <t>2순위</t>
        </is>
      </c>
    </row>
    <row r="149">
      <c r="A149" s="3" t="n">
        <v>149</v>
      </c>
      <c r="B149" s="3" t="inlineStr">
        <is>
          <t>TC-X17</t>
        </is>
      </c>
      <c r="C149" s="3" t="inlineStr">
        <is>
          <t>3차</t>
        </is>
      </c>
      <c r="D149" s="3" t="inlineStr">
        <is>
          <t>F-07</t>
        </is>
      </c>
      <c r="E149" s="3" t="inlineStr">
        <is>
          <t>I-03</t>
        </is>
      </c>
      <c r="F149" s="3" t="inlineStr">
        <is>
          <t>정상</t>
        </is>
      </c>
      <c r="G149" s="3" t="inlineStr">
        <is>
          <t>1차 입금 웹훅 (정상 경로 유지)</t>
        </is>
      </c>
      <c r="H149" s="3" t="inlineStr">
        <is>
          <t>배포본 e81d8a05 · https://farmfi.co.kr</t>
        </is>
      </c>
      <c r="I149" s="3" t="inlineStr">
        <is>
          <t>API/브라우저로 직접 실행</t>
        </is>
      </c>
      <c r="J149" s="3" t="inlineStr">
        <is>
          <t>outcome CONFIRMED · DepositEvent 1 · 청약 반영</t>
        </is>
      </c>
      <c r="K149" s="3" t="n"/>
      <c r="L149" s="13" t="inlineStr">
        <is>
          <t>Pass</t>
        </is>
      </c>
      <c r="M149" s="3" t="inlineStr">
        <is>
          <t>Chromium 1440x900 · mobile 390x844 · tablet 768x1024</t>
        </is>
      </c>
      <c r="N149" s="3" t="inlineStr">
        <is>
          <t>2026-08-26</t>
        </is>
      </c>
      <c r="O149" s="3" t="inlineStr">
        <is>
          <t>REQ-001</t>
        </is>
      </c>
      <c r="P149" s="3" t="inlineStr">
        <is>
          <t>CONFIRMED · DepositEvent 1건 · 청약 COMPLETED</t>
        </is>
      </c>
      <c r="Q149" s="3" t="inlineStr">
        <is>
          <t>2순위</t>
        </is>
      </c>
    </row>
    <row r="150">
      <c r="A150" s="3" t="n">
        <v>150</v>
      </c>
      <c r="B150" s="3" t="inlineStr">
        <is>
          <t>TC-X18</t>
        </is>
      </c>
      <c r="C150" s="3" t="inlineStr">
        <is>
          <t>3차</t>
        </is>
      </c>
      <c r="D150" s="3" t="inlineStr">
        <is>
          <t>F-07</t>
        </is>
      </c>
      <c r="E150" s="3" t="inlineStr">
        <is>
          <t>I-03</t>
        </is>
      </c>
      <c r="F150" s="3" t="inlineStr">
        <is>
          <t>예외</t>
        </is>
      </c>
      <c r="G150" s="3" t="inlineStr">
        <is>
          <t>같은 거래번호 재전송</t>
        </is>
      </c>
      <c r="H150" s="3" t="inlineStr">
        <is>
          <t>배포본 e81d8a05 · https://farmfi.co.kr</t>
        </is>
      </c>
      <c r="I150" s="3" t="inlineStr">
        <is>
          <t>API/브라우저로 직접 실행</t>
        </is>
      </c>
      <c r="J150" s="3" t="inlineStr">
        <is>
          <t>DUPLICATE · 건수 불변</t>
        </is>
      </c>
      <c r="K150" s="3" t="n"/>
      <c r="L150" s="13" t="inlineStr">
        <is>
          <t>Pass</t>
        </is>
      </c>
      <c r="M150" s="3" t="inlineStr">
        <is>
          <t>Chromium 1440x900 · mobile 390x844 · tablet 768x1024</t>
        </is>
      </c>
      <c r="N150" s="3" t="inlineStr">
        <is>
          <t>2026-08-26</t>
        </is>
      </c>
      <c r="O150" s="3" t="inlineStr">
        <is>
          <t>REQ-001</t>
        </is>
      </c>
      <c r="P150" s="3" t="inlineStr">
        <is>
          <t>DUPLICATE · 건수 불변(1건)</t>
        </is>
      </c>
      <c r="Q150" s="3" t="inlineStr">
        <is>
          <t>1순위</t>
        </is>
      </c>
    </row>
    <row r="151">
      <c r="A151" s="3" t="n">
        <v>151</v>
      </c>
      <c r="B151" s="3" t="inlineStr">
        <is>
          <t>TC-X19</t>
        </is>
      </c>
      <c r="C151" s="3" t="inlineStr">
        <is>
          <t>3차</t>
        </is>
      </c>
      <c r="D151" s="3" t="inlineStr">
        <is>
          <t>F-07</t>
        </is>
      </c>
      <c r="E151" s="3" t="inlineStr">
        <is>
          <t>I-03</t>
        </is>
      </c>
      <c r="F151" s="3" t="inlineStr">
        <is>
          <t>예외</t>
        </is>
      </c>
      <c r="G151" s="3" t="inlineStr">
        <is>
          <t>★ 다른 거래번호로 2차 입금</t>
        </is>
      </c>
      <c r="H151" s="3" t="inlineStr">
        <is>
          <t>배포본 e81d8a05 · https://farmfi.co.kr</t>
        </is>
      </c>
      <c r="I151" s="3" t="inlineStr">
        <is>
          <t>API/브라우저로 직접 실행</t>
        </is>
      </c>
      <c r="J151" s="3" t="inlineStr">
        <is>
          <t>outcome REVIEW · 발행 불변 · 모집액 불변</t>
        </is>
      </c>
      <c r="K151" s="3" t="n"/>
      <c r="L151" s="13" t="inlineStr">
        <is>
          <t>Pass</t>
        </is>
      </c>
      <c r="M151" s="3" t="inlineStr">
        <is>
          <t>Chromium 1440x900 · mobile 390x844 · tablet 768x1024</t>
        </is>
      </c>
      <c r="N151" s="3" t="inlineStr">
        <is>
          <t>2026-08-26</t>
        </is>
      </c>
      <c r="O151" s="3" t="inlineStr">
        <is>
          <t>REQ-001</t>
        </is>
      </c>
      <c r="P151" s="3" t="inlineStr">
        <is>
          <t>REVIEW · 발행 1건 그대로 · 모집액에 1차분만 반영</t>
        </is>
      </c>
      <c r="Q151" s="3" t="inlineStr">
        <is>
          <t>1순위</t>
        </is>
      </c>
    </row>
    <row r="152">
      <c r="A152" s="3" t="n">
        <v>152</v>
      </c>
      <c r="B152" s="3" t="inlineStr">
        <is>
          <t>TC-X20</t>
        </is>
      </c>
      <c r="C152" s="3" t="inlineStr">
        <is>
          <t>3차</t>
        </is>
      </c>
      <c r="D152" s="3" t="inlineStr">
        <is>
          <t>F-07</t>
        </is>
      </c>
      <c r="E152" s="3" t="inlineStr">
        <is>
          <t>A-01</t>
        </is>
      </c>
      <c r="F152" s="3" t="inlineStr">
        <is>
          <t>정상</t>
        </is>
      </c>
      <c r="G152" s="3" t="inlineStr">
        <is>
          <t>2차 입금이 관리자 검토 큐에 뜬다</t>
        </is>
      </c>
      <c r="H152" s="3" t="inlineStr">
        <is>
          <t>배포본 e81d8a05 · https://farmfi.co.kr</t>
        </is>
      </c>
      <c r="I152" s="3" t="inlineStr">
        <is>
          <t>API/브라우저로 직접 실행</t>
        </is>
      </c>
      <c r="J152" s="3" t="inlineStr">
        <is>
          <t>검토 큐에 포함</t>
        </is>
      </c>
      <c r="K152" s="3" t="n"/>
      <c r="L152" s="13" t="inlineStr">
        <is>
          <t>Pass</t>
        </is>
      </c>
      <c r="M152" s="3" t="inlineStr">
        <is>
          <t>Chromium 1440x900 · mobile 390x844 · tablet 768x1024</t>
        </is>
      </c>
      <c r="N152" s="3" t="inlineStr">
        <is>
          <t>2026-08-26</t>
        </is>
      </c>
      <c r="O152" s="3" t="inlineStr">
        <is>
          <t>REQ-001</t>
        </is>
      </c>
      <c r="P152" s="3" t="inlineStr">
        <is>
          <t>검토 큐에 포함됨</t>
        </is>
      </c>
      <c r="Q152" s="3" t="inlineStr">
        <is>
          <t>2순위</t>
        </is>
      </c>
    </row>
    <row r="153">
      <c r="A153" s="3" t="n">
        <v>153</v>
      </c>
      <c r="B153" s="3" t="inlineStr">
        <is>
          <t>TC-X21</t>
        </is>
      </c>
      <c r="C153" s="3" t="inlineStr">
        <is>
          <t>3차</t>
        </is>
      </c>
      <c r="D153" s="3" t="inlineStr">
        <is>
          <t>F-10</t>
        </is>
      </c>
      <c r="E153" s="3" t="inlineStr">
        <is>
          <t>/subscriptions</t>
        </is>
      </c>
      <c r="F153" s="3" t="inlineStr">
        <is>
          <t>정상</t>
        </is>
      </c>
      <c r="G153" s="3" t="inlineStr">
        <is>
          <t>내 구독에 죽은 링크가 없다</t>
        </is>
      </c>
      <c r="H153" s="3" t="inlineStr">
        <is>
          <t>배포본 e81d8a05 · https://farmfi.co.kr</t>
        </is>
      </c>
      <c r="I153" s="3" t="inlineStr">
        <is>
          <t>API/브라우저로 직접 실행</t>
        </is>
      </c>
      <c r="J153" s="3" t="inlineStr">
        <is>
          <t>/investor/payouts 링크 없음 · 404 없음</t>
        </is>
      </c>
      <c r="K153" s="3" t="n"/>
      <c r="L153" s="13" t="inlineStr">
        <is>
          <t>Pass</t>
        </is>
      </c>
      <c r="M153" s="3" t="inlineStr">
        <is>
          <t>Chromium 1440x900 · mobile 390x844 · tablet 768x1024</t>
        </is>
      </c>
      <c r="N153" s="3" t="inlineStr">
        <is>
          <t>2026-08-26</t>
        </is>
      </c>
      <c r="O153" s="3" t="inlineStr">
        <is>
          <t>REQ-007</t>
        </is>
      </c>
      <c r="P153" s="3" t="inlineStr">
        <is>
          <t>/investor/payouts 링크 0건 · 404 응답 0건</t>
        </is>
      </c>
      <c r="Q153" s="3" t="inlineStr">
        <is>
          <t>2순위</t>
        </is>
      </c>
    </row>
    <row r="154">
      <c r="A154" s="3" t="n">
        <v>154</v>
      </c>
      <c r="B154" s="3" t="inlineStr">
        <is>
          <t>TC-X22</t>
        </is>
      </c>
      <c r="C154" s="3" t="inlineStr">
        <is>
          <t>3차</t>
        </is>
      </c>
      <c r="D154" s="3" t="inlineStr">
        <is>
          <t>F-18</t>
        </is>
      </c>
      <c r="E154" s="3" t="inlineStr">
        <is>
          <t>공통</t>
        </is>
      </c>
      <c r="F154" s="3" t="inlineStr">
        <is>
          <t>경계</t>
        </is>
      </c>
      <c r="G154" s="3" t="inlineStr">
        <is>
          <t>mobile 390px 주요 5화면 가로 넘침</t>
        </is>
      </c>
      <c r="H154" s="3" t="inlineStr">
        <is>
          <t>배포본 e81d8a05 · https://farmfi.co.kr</t>
        </is>
      </c>
      <c r="I154" s="3" t="inlineStr">
        <is>
          <t>API/브라우저로 직접 실행</t>
        </is>
      </c>
      <c r="J154" s="3" t="inlineStr">
        <is>
          <t>넘침 없음</t>
        </is>
      </c>
      <c r="K154" s="3" t="n"/>
      <c r="L154" s="13" t="inlineStr">
        <is>
          <t>Pass</t>
        </is>
      </c>
      <c r="M154" s="3" t="inlineStr">
        <is>
          <t>Chromium 1440x900 · mobile 390x844 · tablet 768x1024</t>
        </is>
      </c>
      <c r="N154" s="3" t="inlineStr">
        <is>
          <t>2026-08-26</t>
        </is>
      </c>
      <c r="O154" s="3" t="inlineStr">
        <is>
          <t>REQ-006</t>
        </is>
      </c>
      <c r="P154" s="3" t="inlineStr">
        <is>
          <t>주요 5화면 모두 390px 이내</t>
        </is>
      </c>
      <c r="Q154" s="3" t="inlineStr">
        <is>
          <t>2순위</t>
        </is>
      </c>
    </row>
    <row r="155">
      <c r="A155" s="3" t="n">
        <v>155</v>
      </c>
      <c r="B155" s="3" t="inlineStr">
        <is>
          <t>TC-X23</t>
        </is>
      </c>
      <c r="C155" s="3" t="inlineStr">
        <is>
          <t>3차</t>
        </is>
      </c>
      <c r="D155" s="3" t="inlineStr">
        <is>
          <t>F-18</t>
        </is>
      </c>
      <c r="E155" s="3" t="inlineStr">
        <is>
          <t>공통</t>
        </is>
      </c>
      <c r="F155" s="3" t="inlineStr">
        <is>
          <t>경계</t>
        </is>
      </c>
      <c r="G155" s="3" t="inlineStr">
        <is>
          <t>tablet 768px 주요 5화면 가로 넘침</t>
        </is>
      </c>
      <c r="H155" s="3" t="inlineStr">
        <is>
          <t>배포본 e81d8a05 · https://farmfi.co.kr</t>
        </is>
      </c>
      <c r="I155" s="3" t="inlineStr">
        <is>
          <t>API/브라우저로 직접 실행</t>
        </is>
      </c>
      <c r="J155" s="3" t="inlineStr">
        <is>
          <t>넘침 없음</t>
        </is>
      </c>
      <c r="K155" s="3" t="n"/>
      <c r="L155" s="13" t="inlineStr">
        <is>
          <t>Pass</t>
        </is>
      </c>
      <c r="M155" s="3" t="inlineStr">
        <is>
          <t>Chromium 1440x900 · mobile 390x844 · tablet 768x1024</t>
        </is>
      </c>
      <c r="N155" s="3" t="inlineStr">
        <is>
          <t>2026-08-26</t>
        </is>
      </c>
      <c r="O155" s="3" t="inlineStr">
        <is>
          <t>REQ-006</t>
        </is>
      </c>
      <c r="P155" s="3" t="inlineStr">
        <is>
          <t>주요 5화면 모두 768px 이내</t>
        </is>
      </c>
      <c r="Q155" s="3" t="inlineStr">
        <is>
          <t>2순위</t>
        </is>
      </c>
    </row>
    <row r="156">
      <c r="A156" s="3" t="n">
        <v>156</v>
      </c>
      <c r="B156" s="3" t="inlineStr">
        <is>
          <t>TC-Y01</t>
        </is>
      </c>
      <c r="C156" s="3" t="inlineStr">
        <is>
          <t>3차</t>
        </is>
      </c>
      <c r="D156" s="3" t="inlineStr">
        <is>
          <t>F-01</t>
        </is>
      </c>
      <c r="E156" s="3" t="inlineStr">
        <is>
          <t>/projects</t>
        </is>
      </c>
      <c r="F156" s="3" t="inlineStr">
        <is>
          <t>정상</t>
        </is>
      </c>
      <c r="G156" s="3" t="inlineStr">
        <is>
          <t>프로젝트 카드 배지에서 '비보장' 제거</t>
        </is>
      </c>
      <c r="H156" s="3" t="inlineStr">
        <is>
          <t>배포본 e81d8a05 · https://farmfi.co.kr</t>
        </is>
      </c>
      <c r="I156" s="3" t="inlineStr">
        <is>
          <t>브라우저로 직접 조작</t>
        </is>
      </c>
      <c r="J156" s="3" t="inlineStr">
        <is>
          <t>'비보장' 없음 · '목표 N%' 유지</t>
        </is>
      </c>
      <c r="K156" s="3" t="n"/>
      <c r="L156" s="13" t="inlineStr">
        <is>
          <t>Pass</t>
        </is>
      </c>
      <c r="M156" s="3" t="inlineStr">
        <is>
          <t>Chromium 1440x900 · mobile 390x844 · tablet 768x1024</t>
        </is>
      </c>
      <c r="N156" s="3" t="inlineStr">
        <is>
          <t>2026-08-26</t>
        </is>
      </c>
      <c r="O156" s="3" t="inlineStr">
        <is>
          <t>요청 1</t>
        </is>
      </c>
      <c r="P156" s="3" t="inlineStr">
        <is>
          <t>비보장 미검출 · 목표 배지 유지</t>
        </is>
      </c>
      <c r="Q156" s="3" t="inlineStr">
        <is>
          <t>2순위</t>
        </is>
      </c>
    </row>
    <row r="157">
      <c r="A157" s="3" t="n">
        <v>157</v>
      </c>
      <c r="B157" s="3" t="inlineStr">
        <is>
          <t>TC-Y02</t>
        </is>
      </c>
      <c r="C157" s="3" t="inlineStr">
        <is>
          <t>3차</t>
        </is>
      </c>
      <c r="D157" s="3" t="inlineStr">
        <is>
          <t>F-01</t>
        </is>
      </c>
      <c r="E157" s="3" t="inlineStr">
        <is>
          <t>/</t>
        </is>
      </c>
      <c r="F157" s="3" t="inlineStr">
        <is>
          <t>정상</t>
        </is>
      </c>
      <c r="G157" s="3" t="inlineStr">
        <is>
          <t>비회원 홈에서 진행 중 프로젝트 잠금</t>
        </is>
      </c>
      <c r="H157" s="3" t="inlineStr">
        <is>
          <t>배포본 e81d8a05 · https://farmfi.co.kr</t>
        </is>
      </c>
      <c r="I157" s="3" t="inlineStr">
        <is>
          <t>브라우저로 직접 조작</t>
        </is>
      </c>
      <c r="J157" s="3" t="inlineStr">
        <is>
          <t>반투명 레이어 + 로그인 버튼 · 카드 클릭해도 이동 안 함</t>
        </is>
      </c>
      <c r="K157" s="3" t="n"/>
      <c r="L157" s="13" t="inlineStr">
        <is>
          <t>Pass</t>
        </is>
      </c>
      <c r="M157" s="3" t="inlineStr">
        <is>
          <t>Chromium 1440x900 · mobile 390x844 · tablet 768x1024</t>
        </is>
      </c>
      <c r="N157" s="3" t="inlineStr">
        <is>
          <t>2026-08-26</t>
        </is>
      </c>
      <c r="O157" s="3" t="inlineStr">
        <is>
          <t>요청 2</t>
        </is>
      </c>
      <c r="P157" s="3" t="inlineStr">
        <is>
          <t>오버레이 노출 · 로그인 버튼 2개 · 카드 클릭해도 이동 없음</t>
        </is>
      </c>
      <c r="Q157" s="3" t="inlineStr">
        <is>
          <t>2순위</t>
        </is>
      </c>
    </row>
    <row r="158">
      <c r="A158" s="3" t="n">
        <v>158</v>
      </c>
      <c r="B158" s="3" t="inlineStr">
        <is>
          <t>TC-Y03</t>
        </is>
      </c>
      <c r="C158" s="3" t="inlineStr">
        <is>
          <t>3차</t>
        </is>
      </c>
      <c r="D158" s="3" t="inlineStr">
        <is>
          <t>F-01</t>
        </is>
      </c>
      <c r="E158" s="3" t="inlineStr">
        <is>
          <t>/</t>
        </is>
      </c>
      <c r="F158" s="3" t="inlineStr">
        <is>
          <t>정상</t>
        </is>
      </c>
      <c r="G158" s="3" t="inlineStr">
        <is>
          <t>로그인 후 잠금 해제</t>
        </is>
      </c>
      <c r="H158" s="3" t="inlineStr">
        <is>
          <t>배포본 e81d8a05 · https://farmfi.co.kr</t>
        </is>
      </c>
      <c r="I158" s="3" t="inlineStr">
        <is>
          <t>브라우저로 직접 조작</t>
        </is>
      </c>
      <c r="J158" s="3" t="inlineStr">
        <is>
          <t>오버레이 없음 · 카드로 상세 이동</t>
        </is>
      </c>
      <c r="K158" s="3" t="n"/>
      <c r="L158" s="13" t="inlineStr">
        <is>
          <t>Pass</t>
        </is>
      </c>
      <c r="M158" s="3" t="inlineStr">
        <is>
          <t>Chromium 1440x900 · mobile 390x844 · tablet 768x1024</t>
        </is>
      </c>
      <c r="N158" s="3" t="inlineStr">
        <is>
          <t>2026-08-26</t>
        </is>
      </c>
      <c r="O158" s="3" t="inlineStr">
        <is>
          <t>요청 2</t>
        </is>
      </c>
      <c r="P158" s="3" t="inlineStr">
        <is>
          <t>오버레이 없음 · /projects/[id] 이동</t>
        </is>
      </c>
      <c r="Q158" s="3" t="inlineStr">
        <is>
          <t>2순위</t>
        </is>
      </c>
    </row>
    <row r="159">
      <c r="A159" s="3" t="n">
        <v>159</v>
      </c>
      <c r="B159" s="3" t="inlineStr">
        <is>
          <t>TC-Y04</t>
        </is>
      </c>
      <c r="C159" s="3" t="inlineStr">
        <is>
          <t>3차</t>
        </is>
      </c>
      <c r="D159" s="3" t="inlineStr">
        <is>
          <t>F-04</t>
        </is>
      </c>
      <c r="E159" s="3" t="inlineStr">
        <is>
          <t>/projects/[id]</t>
        </is>
      </c>
      <c r="F159" s="3" t="inlineStr">
        <is>
          <t>정상</t>
        </is>
      </c>
      <c r="G159" s="3" t="inlineStr">
        <is>
          <t>기준가 카드 문구·값 교체</t>
        </is>
      </c>
      <c r="H159" s="3" t="inlineStr">
        <is>
          <t>배포본 e81d8a05 · https://farmfi.co.kr</t>
        </is>
      </c>
      <c r="I159" s="3" t="inlineStr">
        <is>
          <t>브라우저로 직접 조작</t>
        </is>
      </c>
      <c r="J159" s="3" t="inlineStr">
        <is>
          <t>투자 배분 현황 · 내 배분 비율 · 총 배정 토큰 · 내 보유 토큰</t>
        </is>
      </c>
      <c r="K159" s="3" t="n"/>
      <c r="L159" s="13" t="inlineStr">
        <is>
          <t>Pass</t>
        </is>
      </c>
      <c r="M159" s="3" t="inlineStr">
        <is>
          <t>Chromium 1440x900 · mobile 390x844 · tablet 768x1024</t>
        </is>
      </c>
      <c r="N159" s="3" t="inlineStr">
        <is>
          <t>2026-08-26</t>
        </is>
      </c>
      <c r="O159" s="3" t="inlineStr">
        <is>
          <t>요청 3</t>
        </is>
      </c>
      <c r="P159" s="3" t="inlineStr">
        <is>
          <t>새 문구 4개 노출 · 옛 문구 4개 미검출</t>
        </is>
      </c>
      <c r="Q159" s="3" t="inlineStr">
        <is>
          <t>2순위</t>
        </is>
      </c>
    </row>
    <row r="160">
      <c r="A160" s="3" t="n">
        <v>160</v>
      </c>
      <c r="B160" s="3" t="inlineStr">
        <is>
          <t>TC-Y05</t>
        </is>
      </c>
      <c r="C160" s="3" t="inlineStr">
        <is>
          <t>3차</t>
        </is>
      </c>
      <c r="D160" s="3" t="inlineStr">
        <is>
          <t>F-04</t>
        </is>
      </c>
      <c r="E160" s="3" t="inlineStr">
        <is>
          <t>/projects/[id]</t>
        </is>
      </c>
      <c r="F160" s="3" t="inlineStr">
        <is>
          <t>정상</t>
        </is>
      </c>
      <c r="G160" s="3" t="inlineStr">
        <is>
          <t>미인증 계정의 신청 버튼 문구</t>
        </is>
      </c>
      <c r="H160" s="3" t="inlineStr">
        <is>
          <t>배포본 e81d8a05 · https://farmfi.co.kr</t>
        </is>
      </c>
      <c r="I160" s="3" t="inlineStr">
        <is>
          <t>브라우저로 직접 조작</t>
        </is>
      </c>
      <c r="J160" s="3" t="inlineStr">
        <is>
          <t>'본인확인하고 신청하기'</t>
        </is>
      </c>
      <c r="K160" s="3" t="n"/>
      <c r="L160" s="13" t="inlineStr">
        <is>
          <t>Pass</t>
        </is>
      </c>
      <c r="M160" s="3" t="inlineStr">
        <is>
          <t>Chromium 1440x900 · mobile 390x844 · tablet 768x1024</t>
        </is>
      </c>
      <c r="N160" s="3" t="inlineStr">
        <is>
          <t>2026-08-26</t>
        </is>
      </c>
      <c r="O160" s="3" t="inlineStr">
        <is>
          <t>요청 4</t>
        </is>
      </c>
      <c r="P160" s="3" t="inlineStr">
        <is>
          <t>본인확인하고 신청하기</t>
        </is>
      </c>
      <c r="Q160" s="3" t="inlineStr">
        <is>
          <t>2순위</t>
        </is>
      </c>
    </row>
    <row r="161">
      <c r="A161" s="3" t="n">
        <v>161</v>
      </c>
      <c r="B161" s="3" t="inlineStr">
        <is>
          <t>TC-Y06</t>
        </is>
      </c>
      <c r="C161" s="3" t="inlineStr">
        <is>
          <t>3차</t>
        </is>
      </c>
      <c r="D161" s="3" t="inlineStr">
        <is>
          <t>F-03</t>
        </is>
      </c>
      <c r="E161" s="3" t="inlineStr">
        <is>
          <t>/verify</t>
        </is>
      </c>
      <c r="F161" s="3" t="inlineStr">
        <is>
          <t>정상</t>
        </is>
      </c>
      <c r="G161" s="3" t="inlineStr">
        <is>
          <t>신청 → 본인확인 진입 (입력 금액 보존)</t>
        </is>
      </c>
      <c r="H161" s="3" t="inlineStr">
        <is>
          <t>배포본 e81d8a05 · https://farmfi.co.kr</t>
        </is>
      </c>
      <c r="I161" s="3" t="inlineStr">
        <is>
          <t>브라우저로 직접 조작</t>
        </is>
      </c>
      <c r="J161" s="3" t="inlineStr">
        <is>
          <t>/verify?next=…amount=100000</t>
        </is>
      </c>
      <c r="K161" s="3" t="n"/>
      <c r="L161" s="13" t="inlineStr">
        <is>
          <t>Pass</t>
        </is>
      </c>
      <c r="M161" s="3" t="inlineStr">
        <is>
          <t>Chromium 1440x900 · mobile 390x844 · tablet 768x1024</t>
        </is>
      </c>
      <c r="N161" s="3" t="inlineStr">
        <is>
          <t>2026-08-26</t>
        </is>
      </c>
      <c r="O161" s="3" t="inlineStr">
        <is>
          <t>요청 4</t>
        </is>
      </c>
      <c r="P161" s="3" t="inlineStr">
        <is>
          <t>/verify?next=/projects/[id]/invest/eligibility?amount=100000</t>
        </is>
      </c>
      <c r="Q161" s="3" t="inlineStr">
        <is>
          <t>2순위</t>
        </is>
      </c>
    </row>
    <row r="162">
      <c r="A162" s="3" t="n">
        <v>162</v>
      </c>
      <c r="B162" s="3" t="inlineStr">
        <is>
          <t>TC-Y07</t>
        </is>
      </c>
      <c r="C162" s="3" t="inlineStr">
        <is>
          <t>3차</t>
        </is>
      </c>
      <c r="D162" s="3" t="inlineStr">
        <is>
          <t>F-03</t>
        </is>
      </c>
      <c r="E162" s="3" t="inlineStr">
        <is>
          <t>/verify/mobile-id</t>
        </is>
      </c>
      <c r="F162" s="3" t="inlineStr">
        <is>
          <t>정상</t>
        </is>
      </c>
      <c r="G162" s="3" t="inlineStr">
        <is>
          <t>방법 선택 → 신분증 (next 유지)</t>
        </is>
      </c>
      <c r="H162" s="3" t="inlineStr">
        <is>
          <t>배포본 e81d8a05 · https://farmfi.co.kr</t>
        </is>
      </c>
      <c r="I162" s="3" t="inlineStr">
        <is>
          <t>브라우저로 직접 조작</t>
        </is>
      </c>
      <c r="J162" s="3" t="inlineStr">
        <is>
          <t>/verify/mobile-id?next=…amount=100000</t>
        </is>
      </c>
      <c r="K162" s="3" t="n"/>
      <c r="L162" s="13" t="inlineStr">
        <is>
          <t>Pass</t>
        </is>
      </c>
      <c r="M162" s="3" t="inlineStr">
        <is>
          <t>Chromium 1440x900 · mobile 390x844 · tablet 768x1024</t>
        </is>
      </c>
      <c r="N162" s="3" t="inlineStr">
        <is>
          <t>2026-08-26</t>
        </is>
      </c>
      <c r="O162" s="3" t="inlineStr">
        <is>
          <t>요청 4</t>
        </is>
      </c>
      <c r="P162" s="3" t="inlineStr">
        <is>
          <t>/verify/mobile-id?next=…amount=100000</t>
        </is>
      </c>
      <c r="Q162" s="3" t="inlineStr">
        <is>
          <t>2순위</t>
        </is>
      </c>
    </row>
    <row r="163">
      <c r="A163" s="3" t="n">
        <v>163</v>
      </c>
      <c r="B163" s="3" t="inlineStr">
        <is>
          <t>TC-Y08</t>
        </is>
      </c>
      <c r="C163" s="3" t="inlineStr">
        <is>
          <t>3차</t>
        </is>
      </c>
      <c r="D163" s="3" t="inlineStr">
        <is>
          <t>F-03</t>
        </is>
      </c>
      <c r="E163" s="3" t="inlineStr">
        <is>
          <t>/verify/account</t>
        </is>
      </c>
      <c r="F163" s="3" t="inlineStr">
        <is>
          <t>정상</t>
        </is>
      </c>
      <c r="G163" s="3" t="inlineStr">
        <is>
          <t>계좌 확인 화면에 시연 버튼 존재</t>
        </is>
      </c>
      <c r="H163" s="3" t="inlineStr">
        <is>
          <t>배포본 e81d8a05 · https://farmfi.co.kr</t>
        </is>
      </c>
      <c r="I163" s="3" t="inlineStr">
        <is>
          <t>브라우저로 직접 조작</t>
        </is>
      </c>
      <c r="J163" s="3" t="inlineStr">
        <is>
          <t>'시연 넘어가기' 버튼</t>
        </is>
      </c>
      <c r="K163" s="3" t="n"/>
      <c r="L163" s="13" t="inlineStr">
        <is>
          <t>Pass</t>
        </is>
      </c>
      <c r="M163" s="3" t="inlineStr">
        <is>
          <t>Chromium 1440x900 · mobile 390x844 · tablet 768x1024</t>
        </is>
      </c>
      <c r="N163" s="3" t="inlineStr">
        <is>
          <t>2026-08-26</t>
        </is>
      </c>
      <c r="O163" s="3" t="inlineStr">
        <is>
          <t>요청 5</t>
        </is>
      </c>
      <c r="P163" s="3" t="inlineStr">
        <is>
          <t>있음</t>
        </is>
      </c>
      <c r="Q163" s="3" t="inlineStr">
        <is>
          <t>2순위</t>
        </is>
      </c>
    </row>
    <row r="164">
      <c r="A164" s="3" t="n">
        <v>164</v>
      </c>
      <c r="B164" s="3" t="inlineStr">
        <is>
          <t>TC-Y09</t>
        </is>
      </c>
      <c r="C164" s="3" t="inlineStr">
        <is>
          <t>3차</t>
        </is>
      </c>
      <c r="D164" s="3" t="inlineStr">
        <is>
          <t>F-03</t>
        </is>
      </c>
      <c r="E164" s="3" t="inlineStr">
        <is>
          <t>/verify/account</t>
        </is>
      </c>
      <c r="F164" s="3" t="inlineStr">
        <is>
          <t>정상</t>
        </is>
      </c>
      <c r="G164" s="3" t="inlineStr">
        <is>
          <t>시연 버튼 → 원래 신청으로 복귀</t>
        </is>
      </c>
      <c r="H164" s="3" t="inlineStr">
        <is>
          <t>배포본 e81d8a05 · https://farmfi.co.kr</t>
        </is>
      </c>
      <c r="I164" s="3" t="inlineStr">
        <is>
          <t>브라우저로 직접 조작</t>
        </is>
      </c>
      <c r="J164" s="3" t="inlineStr">
        <is>
          <t>next 경로로 이동</t>
        </is>
      </c>
      <c r="K164" s="3" t="n"/>
      <c r="L164" s="13" t="inlineStr">
        <is>
          <t>Pass</t>
        </is>
      </c>
      <c r="M164" s="3" t="inlineStr">
        <is>
          <t>Chromium 1440x900 · mobile 390x844 · tablet 768x1024</t>
        </is>
      </c>
      <c r="N164" s="3" t="inlineStr">
        <is>
          <t>2026-08-26</t>
        </is>
      </c>
      <c r="O164" s="3" t="inlineStr">
        <is>
          <t>요청 5</t>
        </is>
      </c>
      <c r="P164" s="3" t="inlineStr">
        <is>
          <t>/projects/[id]/invest/eligibility?amount=100000</t>
        </is>
      </c>
      <c r="Q164" s="3" t="inlineStr">
        <is>
          <t>2순위</t>
        </is>
      </c>
    </row>
    <row r="165">
      <c r="A165" s="3" t="n">
        <v>165</v>
      </c>
      <c r="B165" s="3" t="inlineStr">
        <is>
          <t>TC-Y10</t>
        </is>
      </c>
      <c r="C165" s="3" t="inlineStr">
        <is>
          <t>3차</t>
        </is>
      </c>
      <c r="D165" s="3" t="inlineStr">
        <is>
          <t>F-03</t>
        </is>
      </c>
      <c r="E165" s="3" t="inlineStr">
        <is>
          <t>/verify/account</t>
        </is>
      </c>
      <c r="F165" s="3" t="inlineStr">
        <is>
          <t>정상</t>
        </is>
      </c>
      <c r="G165" s="3" t="inlineStr">
        <is>
          <t>시연 버튼이 계좌를 실제로 등록한다</t>
        </is>
      </c>
      <c r="H165" s="3" t="inlineStr">
        <is>
          <t>배포본 e81d8a05 · https://farmfi.co.kr</t>
        </is>
      </c>
      <c r="I165" s="3" t="inlineStr">
        <is>
          <t>브라우저로 직접 조작</t>
        </is>
      </c>
      <c r="J165" s="3" t="inlineStr">
        <is>
          <t>BankAccount 1건</t>
        </is>
      </c>
      <c r="K165" s="3" t="n"/>
      <c r="L165" s="13" t="inlineStr">
        <is>
          <t>Pass</t>
        </is>
      </c>
      <c r="M165" s="3" t="inlineStr">
        <is>
          <t>Chromium 1440x900 · mobile 390x844 · tablet 768x1024</t>
        </is>
      </c>
      <c r="N165" s="3" t="inlineStr">
        <is>
          <t>2026-08-26</t>
        </is>
      </c>
      <c r="O165" s="3" t="inlineStr">
        <is>
          <t>요청 5</t>
        </is>
      </c>
      <c r="P165" s="3" t="inlineStr">
        <is>
          <t>1건 등록됨</t>
        </is>
      </c>
      <c r="Q165" s="3" t="inlineStr">
        <is>
          <t>2순위</t>
        </is>
      </c>
    </row>
    <row r="166">
      <c r="A166" s="3" t="n">
        <v>166</v>
      </c>
      <c r="B166" s="3" t="inlineStr">
        <is>
          <t>TC-Z01</t>
        </is>
      </c>
      <c r="C166" s="3" t="inlineStr">
        <is>
          <t>3차</t>
        </is>
      </c>
      <c r="D166" s="3" t="inlineStr">
        <is>
          <t>I-02</t>
        </is>
      </c>
      <c r="E166" s="3" t="inlineStr">
        <is>
          <t>/verify/mobile-id</t>
        </is>
      </c>
      <c r="F166" s="3" t="inlineStr">
        <is>
          <t>정상</t>
        </is>
      </c>
      <c r="G166" s="3" t="inlineStr">
        <is>
          <t>모바일 신분증 QR 발급 요청</t>
        </is>
      </c>
      <c r="H166" s="3" t="inlineStr">
        <is>
          <t>OACX 설정이 있는 프로덕션 · 미인증 시연 계정</t>
        </is>
      </c>
      <c r="I166" s="3" t="inlineStr">
        <is>
          <t>1. /verify/mobile-id 진입  2. QR 영역과 /api/identity 응답 확인</t>
        </is>
      </c>
      <c r="J166" s="3" t="inlineStr">
        <is>
          <t>QR 이미지 노출 · '발급하지 못했어요' 문구 없음</t>
        </is>
      </c>
      <c r="K166" s="3" t="inlineStr">
        <is>
          <t>서버 로직</t>
        </is>
      </c>
      <c r="L166" s="13" t="inlineStr">
        <is>
          <t>Pass</t>
        </is>
      </c>
      <c r="M166" s="3" t="inlineStr">
        <is>
          <t>Chromium 1440x900 · mobile 390x844 · tablet 768x1024</t>
        </is>
      </c>
      <c r="N166" s="3" t="inlineStr">
        <is>
          <t>2026-08-26</t>
        </is>
      </c>
      <c r="O166" s="3" t="inlineStr"/>
      <c r="P166" s="3" t="inlineStr">
        <is>
          <t>QR 1건 노출 · 실패 문구 0건 · /api/identity/offer 200</t>
        </is>
      </c>
      <c r="Q166" s="3" t="inlineStr">
        <is>
          <t>1순위</t>
        </is>
      </c>
    </row>
    <row r="167">
      <c r="A167" s="3" t="n">
        <v>167</v>
      </c>
      <c r="B167" s="3" t="inlineStr">
        <is>
          <t>TC-Z02</t>
        </is>
      </c>
      <c r="C167" s="3" t="inlineStr">
        <is>
          <t>3차</t>
        </is>
      </c>
      <c r="D167" s="3" t="inlineStr">
        <is>
          <t>A-13</t>
        </is>
      </c>
      <c r="E167" s="3" t="inlineStr">
        <is>
          <t>/api/demo/reset</t>
        </is>
      </c>
      <c r="F167" s="3" t="inlineStr">
        <is>
          <t>예외</t>
        </is>
      </c>
      <c r="G167" s="3" t="inlineStr">
        <is>
          <t>데모 리셋이 실제 가입 계정과 본인확인 기록을 남긴다</t>
        </is>
      </c>
      <c r="H167" s="3" t="inlineStr">
        <is>
          <t>실가입 계정 1건(본인확인 기록 5건)이 있는 상태</t>
        </is>
      </c>
      <c r="I167" s="3" t="inlineStr">
        <is>
          <t>1. 쓰기 TC 로 시연 데이터를 어지럽힌다  2. 리셋 호출  3. 유저·본인확인 기록 대조</t>
        </is>
      </c>
      <c r="J167" s="3" t="inlineStr">
        <is>
          <t>시드는 원복 · 실가입 계정과 그 본인확인 기록은 보존</t>
        </is>
      </c>
      <c r="K167" s="3" t="inlineStr">
        <is>
          <t>서버 로직</t>
        </is>
      </c>
      <c r="L167" s="13" t="inlineStr">
        <is>
          <t>Pass</t>
        </is>
      </c>
      <c r="M167" s="3" t="inlineStr">
        <is>
          <t>API 직접 호출 (프로덕션)</t>
        </is>
      </c>
      <c r="N167" s="3" t="inlineStr">
        <is>
          <t>2026-08-26</t>
        </is>
      </c>
      <c r="O167" s="3" t="inlineStr">
        <is>
          <t>REQ-008</t>
        </is>
      </c>
      <c r="P167" s="3" t="inlineStr">
        <is>
          <t>실계정 tj041600@naver.com 보존 · 본인확인 5/5 · 전체 유저 8</t>
        </is>
      </c>
      <c r="Q167" s="3" t="inlineStr">
        <is>
          <t>1순위</t>
        </is>
      </c>
    </row>
    <row r="168">
      <c r="A168" s="3" t="n">
        <v>168</v>
      </c>
      <c r="B168" s="3" t="inlineStr">
        <is>
          <t>TC-W02</t>
        </is>
      </c>
      <c r="C168" s="3" t="inlineStr">
        <is>
          <t>3차</t>
        </is>
      </c>
      <c r="D168" s="3" t="inlineStr">
        <is>
          <t>전 화면</t>
        </is>
      </c>
      <c r="E168" s="3" t="inlineStr">
        <is>
          <t>전 화면</t>
        </is>
      </c>
      <c r="F168" s="3" t="inlineStr">
        <is>
          <t>정상</t>
        </is>
      </c>
      <c r="G168" s="3" t="inlineStr">
        <is>
          <t>주요 10화면 본문에서 명세 금칙어 검사 ('총 배정 토큰·내 보유 토큰'은 명세 18장 예외)</t>
        </is>
      </c>
      <c r="H168" s="3" t="inlineStr">
        <is>
          <t>배포본 e81d8a05 · https://farmfi.co.kr</t>
        </is>
      </c>
      <c r="I168" s="3" t="inlineStr">
        <is>
          <t>1. 비회원·투자자 세션으로 10화면 진입  2. 본문에서 STO·지갑 주소·수익 보장 정규식 검사</t>
        </is>
      </c>
      <c r="J168" s="3" t="inlineStr">
        <is>
          <t>검출 0건</t>
        </is>
      </c>
      <c r="K168" s="3" t="inlineStr">
        <is>
          <t>화면 로직</t>
        </is>
      </c>
      <c r="L168" s="13" t="inlineStr">
        <is>
          <t>Pass</t>
        </is>
      </c>
      <c r="M168" s="3" t="inlineStr">
        <is>
          <t>Chromium 1440x900 · mobile 390x844 · tablet 768x1024</t>
        </is>
      </c>
      <c r="N168" s="3" t="inlineStr">
        <is>
          <t>2026-08-26</t>
        </is>
      </c>
      <c r="O168" s="3" t="inlineStr"/>
      <c r="P168" s="3" t="inlineStr">
        <is>
          <t>0건</t>
        </is>
      </c>
      <c r="Q168" s="3" t="inlineStr">
        <is>
          <t>2순위</t>
        </is>
      </c>
    </row>
    <row r="169">
      <c r="A169" s="3" t="n">
        <v>168</v>
      </c>
      <c r="B169" s="3" t="inlineStr">
        <is>
          <t>TC-Z03</t>
        </is>
      </c>
      <c r="C169" s="3" t="inlineStr">
        <is>
          <t>3차</t>
        </is>
      </c>
      <c r="D169" s="3" t="inlineStr">
        <is>
          <t>A-13</t>
        </is>
      </c>
      <c r="E169" s="3" t="inlineStr">
        <is>
          <t>/api/demo/reset</t>
        </is>
      </c>
      <c r="F169" s="3" t="inlineStr">
        <is>
          <t>경계</t>
        </is>
      </c>
      <c r="G169" s="3" t="inlineStr">
        <is>
          <t>리셋 삭제 범위의 경계 — 자식 행이 달린 실계정 · @farmfi.test 로 시작만 하는 이메일 · 이메일 없는 계정 · 연속 2회</t>
        </is>
      </c>
      <c r="H169" s="3" t="inlineStr">
        <is>
          <t>배포본 e81d8a05 · 검수용 임시 계정 3종(본인확인 2건·계좌 1건 포함)</t>
        </is>
      </c>
      <c r="I169" s="3" t="inlineStr">
        <is>
          <t>1. 임시 계정 3종 생성  2. 리셋 2회 연속 호출  3. 유저·본인확인·계좌·시드 대조  4. 임시 계정 정리</t>
        </is>
      </c>
      <c r="J169" s="3" t="inlineStr">
        <is>
          <t>실계정 3종과 본인확인 기록은 보존 · 계좌 등 시연 데이터는 삭제 · 시드 7건 재생성 · 2회차도 같은 결과</t>
        </is>
      </c>
      <c r="K169" s="3" t="inlineStr">
        <is>
          <t>서버 로직</t>
        </is>
      </c>
      <c r="L169" s="13" t="inlineStr">
        <is>
          <t>Pass</t>
        </is>
      </c>
      <c r="M169" s="3" t="inlineStr">
        <is>
          <t>API 직접 호출 (프로덕션)</t>
        </is>
      </c>
      <c r="N169" s="3" t="inlineStr">
        <is>
          <t>2026-08-26</t>
        </is>
      </c>
      <c r="O169" s="3" t="inlineStr">
        <is>
          <t>REQ-008</t>
        </is>
      </c>
      <c r="P169" s="3" t="inlineStr">
        <is>
          <t>실계정 3/3 · 본인확인 2/2 · 계좌 0건 · 시드 7/7 · 2회차 동일 · 지점 3곳 정상</t>
        </is>
      </c>
      <c r="Q169" s="3" t="inlineStr">
        <is>
          <t>1순위</t>
        </is>
      </c>
    </row>
  </sheetData>
  <autoFilter ref="A1:R132"/>
  <dataValidations count="4">
    <dataValidation sqref="L2:L169" showDropDown="0" showInputMessage="0" showErrorMessage="0" allowBlank="1" type="list">
      <formula1>"Pass,Fail,Blocked,N/A,미실행"</formula1>
    </dataValidation>
    <dataValidation sqref="F2:F169" showDropDown="0" showInputMessage="0" showErrorMessage="0" allowBlank="1" type="list">
      <formula1>"정상,경계,예외"</formula1>
    </dataValidation>
    <dataValidation sqref="Q2:Q169" showDropDown="0" showInputMessage="0" showErrorMessage="0" allowBlank="1" type="list">
      <formula1>"1순위,2순위,3순위"</formula1>
    </dataValidation>
    <dataValidation sqref="K2:K169" showDropDown="0" showInputMessage="0" showErrorMessage="0" allowBlank="1" type="list">
      <formula1>"서버 로직,화면 로직,디자인"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9" customWidth="1" min="4" max="4"/>
    <col width="9" customWidth="1" min="5" max="5"/>
    <col width="42" customWidth="1" min="6" max="6"/>
    <col width="36" customWidth="1" min="7" max="7"/>
    <col width="50" customWidth="1" min="8" max="8"/>
    <col width="22" customWidth="1" min="9" max="9"/>
    <col width="18" customWidth="1" min="10" max="10"/>
    <col width="9" customWidth="1" min="11" max="11"/>
    <col width="12" customWidth="1" min="12" max="12"/>
    <col width="38" customWidth="1" min="13" max="13"/>
    <col width="74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2" t="inlineStr">
        <is>
          <t>요청 코드</t>
        </is>
      </c>
      <c r="B1" s="12" t="inlineStr">
        <is>
          <t>연결 TC</t>
        </is>
      </c>
      <c r="C1" s="12" t="inlineStr">
        <is>
          <t>유형</t>
        </is>
      </c>
      <c r="D1" s="12" t="inlineStr">
        <is>
          <t>심각도</t>
        </is>
      </c>
      <c r="E1" s="12" t="inlineStr">
        <is>
          <t>우선순위</t>
        </is>
      </c>
      <c r="F1" s="12" t="inlineStr">
        <is>
          <t>요약</t>
        </is>
      </c>
      <c r="G1" s="12" t="inlineStr">
        <is>
          <t>기대 동작</t>
        </is>
      </c>
      <c r="H1" s="12" t="inlineStr">
        <is>
          <t>실제 동작</t>
        </is>
      </c>
      <c r="I1" s="12" t="inlineStr">
        <is>
          <t>메뉴 Depth</t>
        </is>
      </c>
      <c r="J1" s="12" t="inlineStr">
        <is>
          <t>디바이스</t>
        </is>
      </c>
      <c r="K1" s="12" t="inlineStr">
        <is>
          <t>재현 빈도</t>
        </is>
      </c>
      <c r="L1" s="12" t="inlineStr">
        <is>
          <t>발견 일시</t>
        </is>
      </c>
      <c r="M1" s="12" t="inlineStr">
        <is>
          <t>시각 자료·증거</t>
        </is>
      </c>
      <c r="N1" s="12" t="inlineStr">
        <is>
          <t>해결 방향 · 실제 수정</t>
        </is>
      </c>
      <c r="O1" s="12" t="inlineStr">
        <is>
          <t>진행 상태</t>
        </is>
      </c>
      <c r="P1" s="12" t="inlineStr">
        <is>
          <t>검수 상태</t>
        </is>
      </c>
      <c r="Q1" s="12" t="inlineStr">
        <is>
          <t>처리 일시</t>
        </is>
      </c>
      <c r="R1" s="12" t="inlineStr">
        <is>
          <t>검수 일시</t>
        </is>
      </c>
    </row>
    <row r="2" ht="88" customHeight="1">
      <c r="A2" s="3" t="inlineStr">
        <is>
          <t>REQ-001</t>
        </is>
      </c>
      <c r="B2" s="3" t="inlineStr">
        <is>
          <t>TC-D11 → TC-X19</t>
        </is>
      </c>
      <c r="C2" s="3" t="inlineStr">
        <is>
          <t>긴급 버그</t>
        </is>
      </c>
      <c r="D2" s="14" t="inlineStr">
        <is>
          <t>Critical</t>
        </is>
      </c>
      <c r="E2" s="3" t="inlineStr">
        <is>
          <t>1순위</t>
        </is>
      </c>
      <c r="F2" s="3" t="inlineStr">
        <is>
          <t>이미 납입 완료된 가상계좌에 다른 거래번호로 입금이 오면 보유 구좌가 이중 발행된다</t>
        </is>
      </c>
      <c r="G2" s="3" t="inlineStr">
        <is>
          <t>청약 1건(100구좌)에 대해 확정 발행은 100구좌여야 한다. 초과 입금은 관리자 검토로 가야 한다.</t>
        </is>
      </c>
      <c r="H2" s="3" t="inlineStr">
        <is>
          <t>두 번째 웹훅도 CONFIRMED 처리되어 HoldingIssuance가 2건 생성. 청약 합 110구좌 vs 확정 발행 합 210구좌로 대사식이 깨졌다.</t>
        </is>
      </c>
      <c r="I2" s="3" t="inlineStr">
        <is>
          <t>투자 &gt; 청약 &gt; 가상계좌 입금</t>
        </is>
      </c>
      <c r="J2" s="3" t="inlineStr">
        <is>
          <t>Chromium 1440x900</t>
        </is>
      </c>
      <c r="K2" s="3" t="inlineStr">
        <is>
          <t>항상</t>
        </is>
      </c>
      <c r="L2" s="3" t="inlineStr">
        <is>
          <t>2026-08-25</t>
        </is>
      </c>
      <c r="M2" s="3" t="inlineStr">
        <is>
          <t>out/flows.json TC-D11 · HoldingIssuance eventId deposit:toss_QA-TXK-0001:mint / :0002:mint</t>
        </is>
      </c>
      <c r="N2" s="3" t="inlineStr">
        <is>
          <t>confirmBankDeposit이 account.status를 CANCELLED만 검사하고 PAID를 검사하지 않았다. 계좌가 이미 PAID이거나 신청이 DEPOSIT_CONFIRMED 이상이면 REVIEW로 보내 확정도 발행도 하지 않게 했다(ba8ba306). 재검증 TC-X17~X20 통과.</t>
        </is>
      </c>
      <c r="O2" s="13" t="inlineStr">
        <is>
          <t>처리 완료</t>
        </is>
      </c>
      <c r="P2" s="3" t="inlineStr">
        <is>
          <t>검수 전</t>
        </is>
      </c>
      <c r="Q2" s="3" t="inlineStr">
        <is>
          <t>2026-08-25</t>
        </is>
      </c>
      <c r="R2" s="3" t="inlineStr"/>
    </row>
    <row r="3" ht="88" customHeight="1">
      <c r="A3" s="3" t="inlineStr">
        <is>
          <t>REQ-002</t>
        </is>
      </c>
      <c r="B3" s="3" t="inlineStr">
        <is>
          <t>TC-S01 → TC-X13</t>
        </is>
      </c>
      <c r="C3" s="3" t="inlineStr">
        <is>
          <t>긴급 버그</t>
        </is>
      </c>
      <c r="D3" s="14" t="inlineStr">
        <is>
          <t>Critical</t>
        </is>
      </c>
      <c r="E3" s="3" t="inlineStr">
        <is>
          <t>1순위</t>
        </is>
      </c>
      <c r="F3" s="3" t="inlineStr">
        <is>
          <t>/api/subscribe 가 적합성·계약동의·가상계좌 납입을 건너뛰고 보유 구좌를 생성한다</t>
        </is>
      </c>
      <c r="G3" s="3" t="inlineStr">
        <is>
          <t>명세 I-03의 게이트를 통과해야 보유 구좌가 생긴다.</t>
        </is>
      </c>
      <c r="H3" s="3" t="inlineStr">
        <is>
          <t>POST 한 번으로 200 + TokenHolding 즉시 증가(1080→1085). identityVerified 외 어떤 게이트도 없었다.</t>
        </is>
      </c>
      <c r="I3" s="3" t="inlineStr">
        <is>
          <t>API 직접 호출 (화면 경로 없음)</t>
        </is>
      </c>
      <c r="J3" s="3" t="inlineStr">
        <is>
          <t>-</t>
        </is>
      </c>
      <c r="K3" s="3" t="inlineStr">
        <is>
          <t>항상</t>
        </is>
      </c>
      <c r="L3" s="3" t="inlineStr">
        <is>
          <t>2026-08-25</t>
        </is>
      </c>
      <c r="M3" s="3" t="inlineStr">
        <is>
          <t>out/flows2.json TC-S01 응답 {"success":true,"tokenAmount":5}</t>
        </is>
      </c>
      <c r="N3" s="3" t="inlineStr">
        <is>
          <t>화면 어디에서도 부르지 않는 구(舊) 잔액 차감 경로였다. 라우트를 제거했다(7cd93b1a). settleInvestment가 쓰는 lib/subscription.ts는 정상 경로 안쪽이라 유지. 재검증 TC-X13 404 확인.</t>
        </is>
      </c>
      <c r="O3" s="13" t="inlineStr">
        <is>
          <t>처리 완료</t>
        </is>
      </c>
      <c r="P3" s="3" t="inlineStr">
        <is>
          <t>검수 전</t>
        </is>
      </c>
      <c r="Q3" s="3" t="inlineStr">
        <is>
          <t>2026-08-25</t>
        </is>
      </c>
      <c r="R3" s="3" t="inlineStr"/>
    </row>
    <row r="4" ht="88" customHeight="1">
      <c r="A4" s="3" t="inlineStr">
        <is>
          <t>REQ-003</t>
        </is>
      </c>
      <c r="B4" s="3" t="inlineStr">
        <is>
          <t>TC-O02 → TC-X14</t>
        </is>
      </c>
      <c r="C4" s="3" t="inlineStr">
        <is>
          <t>기능 결함</t>
        </is>
      </c>
      <c r="D4" s="3" t="inlineStr">
        <is>
          <t>Major</t>
        </is>
      </c>
      <c r="E4" s="3" t="inlineStr">
        <is>
          <t>1순위</t>
        </is>
      </c>
      <c r="F4" s="3" t="inlineStr">
        <is>
          <t>운영자가 배정되지 않은 지점(operatorId 미지정)의 마일스톤에 증빙을 제출할 수 있다</t>
        </is>
      </c>
      <c r="G4" s="3" t="inlineStr">
        <is>
          <t>명세 O-11: 배정되지 않은 지점의 증빙은 제출할 수 없다 → 403</t>
        </is>
      </c>
      <c r="H4" s="3" t="inlineStr">
        <is>
          <t>operatorId가 null인 프로젝트의 단계에 임의 운영자가 제출 → 200, evidence_submitted 로 전이.</t>
        </is>
      </c>
      <c r="I4" s="3" t="inlineStr">
        <is>
          <t>운영자 &gt; 마일스톤 &gt; 증빙 제출</t>
        </is>
      </c>
      <c r="J4" s="3" t="inlineStr">
        <is>
          <t>-</t>
        </is>
      </c>
      <c r="K4" s="3" t="inlineStr">
        <is>
          <t>항상</t>
        </is>
      </c>
      <c r="L4" s="3" t="inlineStr">
        <is>
          <t>2026-08-25</t>
        </is>
      </c>
      <c r="M4" s="3" t="inlineStr">
        <is>
          <t>out/flows.json TC-O02 (QA 임시 프로젝트로 재현, 검증 후 삭제)</t>
        </is>
      </c>
      <c r="N4" s="3" t="inlineStr">
        <is>
          <t>가드가 `project.operatorId &amp;&amp; operatorId !== userId` 라서 null이면 통과했다. 판정을 ownsProject 한 곳으로 모으고 null도 거부하게 했다(85f89ea0). 재검증 TC-X14~X16 통과.</t>
        </is>
      </c>
      <c r="O4" s="13" t="inlineStr">
        <is>
          <t>처리 완료</t>
        </is>
      </c>
      <c r="P4" s="3" t="inlineStr">
        <is>
          <t>검수 전</t>
        </is>
      </c>
      <c r="Q4" s="3" t="inlineStr">
        <is>
          <t>2026-08-25</t>
        </is>
      </c>
      <c r="R4" s="3" t="inlineStr"/>
    </row>
    <row r="5" ht="88" customHeight="1">
      <c r="A5" s="3" t="inlineStr">
        <is>
          <t>REQ-004</t>
        </is>
      </c>
      <c r="B5" s="3" t="inlineStr">
        <is>
          <t>TC-V022~V025 → TC-X07</t>
        </is>
      </c>
      <c r="C5" s="3" t="inlineStr">
        <is>
          <t>기능 결함</t>
        </is>
      </c>
      <c r="D5" s="3" t="inlineStr">
        <is>
          <t>Major</t>
        </is>
      </c>
      <c r="E5" s="3" t="inlineStr">
        <is>
          <t>1순위</t>
        </is>
      </c>
      <c r="F5" s="3" t="inlineStr">
        <is>
          <t>투자자 세션으로 관리자 콘솔·운영자 포털 화면이 그대로 렌더된다</t>
        </is>
      </c>
      <c r="G5" s="3" t="inlineStr">
        <is>
          <t>명세 2장: 현재 역할의 메뉴만 표시. 18장: 투자자는 운영자·관리자 메뉴나 API에 접근할 수 없다.</t>
        </is>
      </c>
      <c r="H5" s="3" t="inlineStr">
        <is>
          <t>/admin 200 렌더 — 관리자 메뉴 14개 전체 노출, '김투자 관리자님', 전체 프로젝트·누적 모금액 표시. /operator/milestones 200 — 마일스톤 판정 항목·보완 요청 사유 노출.</t>
        </is>
      </c>
      <c r="I5" s="3" t="inlineStr">
        <is>
          <t>투자자 &gt; 주소창 직접 입력</t>
        </is>
      </c>
      <c r="J5" s="3" t="inlineStr">
        <is>
          <t>Chromium 1440x900</t>
        </is>
      </c>
      <c r="K5" s="3" t="inlineStr">
        <is>
          <t>항상</t>
        </is>
      </c>
      <c r="L5" s="3" t="inlineStr">
        <is>
          <t>2026-08-25</t>
        </is>
      </c>
      <c r="M5" s="3" t="inlineStr">
        <is>
          <t>out/survey.json role=investor · 스크린샷 investor_admin.png</t>
        </is>
      </c>
      <c r="N5" s="3" t="inlineStr">
        <is>
          <t>미들웨어 matcher가 /api/*와 구 리다이렉트 경로만 잡고 페이지에는 역할 가드가 없었다. /admin·/operator·/landlord·/monitoring·/optimization에 레이아웃 가드를 넣었다(24c962f2). 시연 계정 판정이 DB를 읽어야 해 미들웨어(edge)가 아니라 레이아웃에 뒀다. 재검증 TC-X07~X12 통과.</t>
        </is>
      </c>
      <c r="O5" s="13" t="inlineStr">
        <is>
          <t>처리 완료</t>
        </is>
      </c>
      <c r="P5" s="3" t="inlineStr">
        <is>
          <t>검수 전</t>
        </is>
      </c>
      <c r="Q5" s="3" t="inlineStr">
        <is>
          <t>2026-08-25</t>
        </is>
      </c>
      <c r="R5" s="3" t="inlineStr"/>
    </row>
    <row r="6" ht="88" customHeight="1">
      <c r="A6" s="3" t="inlineStr">
        <is>
          <t>REQ-005</t>
        </is>
      </c>
      <c r="B6" s="3" t="inlineStr">
        <is>
          <t>TC-A01·A02 → TC-X01</t>
        </is>
      </c>
      <c r="C6" s="3" t="inlineStr">
        <is>
          <t>기능 결함</t>
        </is>
      </c>
      <c r="D6" s="3" t="inlineStr">
        <is>
          <t>Major</t>
        </is>
      </c>
      <c r="E6" s="3" t="inlineStr">
        <is>
          <t>2순위</t>
        </is>
      </c>
      <c r="F6" s="3" t="inlineStr">
        <is>
          <t>비회원이 생육 최적화·오늘 할 일 브리핑을 로그인 없이 조회할 수 있다</t>
        </is>
      </c>
      <c r="G6" s="3" t="inlineStr">
        <is>
          <t>명세 7장: 배정되지 않은 지점의 데이터는 보이지 않는다.</t>
        </is>
      </c>
      <c r="H6" s="3" t="inlineStr">
        <is>
          <t>GET /api/optimization/{id} 200, /api/briefing/{id} 200 — 작물 목표값·전력 요금·발주 수량·수요 예측 반환. 같은 계열 /api/monitoring/{id} 는 403으로 올바르게 막혀 있었다.</t>
        </is>
      </c>
      <c r="I6" s="3" t="inlineStr">
        <is>
          <t>API 직접 호출 · /optimization/[id] 화면</t>
        </is>
      </c>
      <c r="J6" s="3" t="inlineStr">
        <is>
          <t>-</t>
        </is>
      </c>
      <c r="K6" s="3" t="inlineStr">
        <is>
          <t>항상</t>
        </is>
      </c>
      <c r="L6" s="3" t="inlineStr">
        <is>
          <t>2026-08-25</t>
        </is>
      </c>
      <c r="M6" s="3" t="inlineStr">
        <is>
          <t>out/api-authz.json guest 행 · out/flows.json TC-A01·A02</t>
        </is>
      </c>
      <c r="N6" s="3" t="inlineStr">
        <is>
          <t>두 라우트에 monitoring과 같은 requireRole+guardProject를 붙였다(7441a2e7). QA 중 /optimization/[id] 화면이 서버 컴포넌트로 prisma를 직접 읽어 API 관문을 지나지 않는 것도 확인해 레이아웃 가드를 함께 넣었다. 재검증 TC-X01~X06 통과.</t>
        </is>
      </c>
      <c r="O6" s="13" t="inlineStr">
        <is>
          <t>처리 완료</t>
        </is>
      </c>
      <c r="P6" s="3" t="inlineStr">
        <is>
          <t>검수 전</t>
        </is>
      </c>
      <c r="Q6" s="3" t="inlineStr">
        <is>
          <t>2026-08-25</t>
        </is>
      </c>
      <c r="R6" s="3" t="inlineStr"/>
    </row>
    <row r="7" ht="88" customHeight="1">
      <c r="A7" s="3" t="inlineStr">
        <is>
          <t>REQ-006</t>
        </is>
      </c>
      <c r="B7" s="3" t="inlineStr">
        <is>
          <t>TC-R01·R02 → TC-X22</t>
        </is>
      </c>
      <c r="C7" s="3" t="inlineStr">
        <is>
          <t>UI 개선</t>
        </is>
      </c>
      <c r="D7" s="3" t="inlineStr">
        <is>
          <t>Major</t>
        </is>
      </c>
      <c r="E7" s="3" t="inlineStr">
        <is>
          <t>1순위</t>
        </is>
      </c>
      <c r="F7" s="3" t="inlineStr">
        <is>
          <t>모바일·태블릿에서 홈과 프로젝트 목록의 레이아웃이 무너진다</t>
        </is>
      </c>
      <c r="G7" s="3" t="inlineStr">
        <is>
          <t>명세 15장 — 뷰포트 폭 안에서 콘텐츠가 읽혀야 한다.</t>
        </is>
      </c>
      <c r="H7" s="3" t="inlineStr">
        <is>
          <t>390px 뷰포트에서 문서 폭 1010px(홈)·568px(프로젝트). 카드가 3열을 유지해 '모금률 100.0% / 4…'가 잘리고 '1단계 완료'와 '공실 재생' 태그가 겹쳤다. 768px에서도 홈이 1010px.</t>
        </is>
      </c>
      <c r="I7" s="3" t="inlineStr">
        <is>
          <t>홈 / 프로젝트 목록 / 정기구독 / 서비스 소개</t>
        </is>
      </c>
      <c r="J7" s="3" t="inlineStr">
        <is>
          <t>mobile 390x844 · tablet 768x1024</t>
        </is>
      </c>
      <c r="K7" s="3" t="inlineStr">
        <is>
          <t>항상</t>
        </is>
      </c>
      <c r="L7" s="3" t="inlineStr">
        <is>
          <t>2026-08-25</t>
        </is>
      </c>
      <c r="M7" s="3" t="inlineStr">
        <is>
          <t>out/shots/mobile_.png, mobile_projects.png, tablet_.png</t>
        </is>
      </c>
      <c r="N7" s="3" t="inlineStr">
        <is>
          <t>1440 기준 값(좌우 54·간격 14·카드 3열·고정폭 검색창·히어로 음수 마진)이 폭에 상관없이 걸려 있었다. 헤더·셸·카드 그리드·지표 줄·단계 표시·주문 패널에 브레이크포인트를 넣었다(74909e57). 재검증 TC-X22·X23 통과.</t>
        </is>
      </c>
      <c r="O7" s="13" t="inlineStr">
        <is>
          <t>처리 완료</t>
        </is>
      </c>
      <c r="P7" s="3" t="inlineStr">
        <is>
          <t>검수 전</t>
        </is>
      </c>
      <c r="Q7" s="3" t="inlineStr">
        <is>
          <t>2026-08-25</t>
        </is>
      </c>
      <c r="R7" s="3" t="inlineStr"/>
    </row>
    <row r="8" ht="88" customHeight="1">
      <c r="A8" s="3" t="inlineStr">
        <is>
          <t>REQ-007</t>
        </is>
      </c>
      <c r="B8" s="3" t="inlineStr">
        <is>
          <t>TC-V020 → TC-X21</t>
        </is>
      </c>
      <c r="C8" s="3" t="inlineStr">
        <is>
          <t>기능 결함</t>
        </is>
      </c>
      <c r="D8" s="3" t="inlineStr">
        <is>
          <t>Minor</t>
        </is>
      </c>
      <c r="E8" s="3" t="inlineStr">
        <is>
          <t>2순위</t>
        </is>
      </c>
      <c r="F8" s="3" t="inlineStr">
        <is>
          <t>내 구독 화면의 '결제 내역' 버튼이 존재하지 않는 경로로 연결된다</t>
        </is>
      </c>
      <c r="G8" s="3" t="inlineStr">
        <is>
          <t>결제 내역 화면으로 이동한다.</t>
        </is>
      </c>
      <c r="H8" s="3" t="inlineStr">
        <is>
          <t>href="/investor/payouts" 이나 그 라우트가 없다(상세 /investor/payouts/[id] 만 존재). GET → 404. 진입 시 RSC 프리페치도 404.</t>
        </is>
      </c>
      <c r="I8" s="3" t="inlineStr">
        <is>
          <t>구매자 &gt; 내 구독</t>
        </is>
      </c>
      <c r="J8" s="3" t="inlineStr">
        <is>
          <t>Chromium 1440x900</t>
        </is>
      </c>
      <c r="K8" s="3" t="inlineStr">
        <is>
          <t>항상</t>
        </is>
      </c>
      <c r="L8" s="3" t="inlineStr">
        <is>
          <t>2026-08-25</t>
        </is>
      </c>
      <c r="M8" s="3" t="inlineStr">
        <is>
          <t>out/survey.json · MySubscriptionsScreen.tsx:166</t>
        </is>
      </c>
      <c r="N8" s="3" t="inlineStr">
        <is>
          <t>갈 곳이 없고 명세 B-07의 기능 목록에도 결제 내역이 없어 버튼을 제거했다(1f6038ea). /subscribe/payment는 신규 구독 draft에 의존해 기존 구독자를 보낼 수 없다. 재검증 TC-X21 통과.</t>
        </is>
      </c>
      <c r="O8" s="13" t="inlineStr">
        <is>
          <t>처리 완료</t>
        </is>
      </c>
      <c r="P8" s="3" t="inlineStr">
        <is>
          <t>검수 전</t>
        </is>
      </c>
      <c r="Q8" s="3" t="inlineStr">
        <is>
          <t>2026-08-25</t>
        </is>
      </c>
      <c r="R8" s="3" t="inlineStr"/>
    </row>
    <row r="9" ht="88" customHeight="1">
      <c r="A9" s="3" t="inlineStr">
        <is>
          <t>REQ-008</t>
        </is>
      </c>
      <c r="B9" s="3" t="inlineStr">
        <is>
          <t>TC-Z02, TC-Z03</t>
        </is>
      </c>
      <c r="C9" s="3" t="inlineStr">
        <is>
          <t>기능 결함</t>
        </is>
      </c>
      <c r="D9" s="3" t="inlineStr">
        <is>
          <t>Major</t>
        </is>
      </c>
      <c r="E9" s="3" t="inlineStr">
        <is>
          <t>2순위</t>
        </is>
      </c>
      <c r="F9" s="3" t="inlineStr">
        <is>
          <t>데모 리셋이 시드 계정뿐 아니라 실제 가입 계정까지 지운다</t>
        </is>
      </c>
      <c r="G9" s="3" t="inlineStr">
        <is>
          <t>리셋은 시연 데이터를 최초 상태로 되돌리는 동작이다. 실제로 가입한 계정과 그 계정의 본인확인 기록은 남아야 한다.</t>
        </is>
      </c>
      <c r="H9" s="3" t="inlineStr">
        <is>
          <t>seedScenario 가 재생성 전에 prisma.user.deleteMany() 로 유저 테이블을 통째로 비운다(seed-scenario.ts:84). 리셋 한 번에 tj041600@naver.com 계정과 거기 붙은 OpenDID 검증 기록 5건이 사라진다. QA 중에는 매 리셋마다 백업했다가 복원해서 이어갔다.</t>
        </is>
      </c>
      <c r="I9" s="3" t="inlineStr">
        <is>
          <t>관리자 &gt; 데모 리셋</t>
        </is>
      </c>
      <c r="J9" s="3" t="inlineStr">
        <is>
          <t>-</t>
        </is>
      </c>
      <c r="K9" s="3" t="inlineStr">
        <is>
          <t>항상</t>
        </is>
      </c>
      <c r="L9" s="3" t="inlineStr">
        <is>
          <t>2026-08-25</t>
        </is>
      </c>
      <c r="M9" s="3" t="inlineStr">
        <is>
          <t>seed-scenario.ts:84 · 리셋 전후 User 테이블 조회 · 검수는 고칠 때와 다른 경우로 다시 봤다 — 자식 행이 달린 실계정 · @farmfi.test 로 시작만 하는 이메일 · 이메일 없는 계정 · 연속 리셋 2회 (TC-Z03, 7/7)</t>
        </is>
      </c>
      <c r="N9" s="3" t="inlineStr">
        <is>
          <t>시드가 멱등하려면 지우고 다시 만드는 게 단순해서 유저 테이블을 통째로 비웠다. 시드가 만드는 계정은 전부 @farmfi.test 이므로 삭제 범위를 그 도메인으로 한정하고, 본인확인 기록은 남는 계정의 것만 남겼다(e81d8a05). 3차에서 리셋 후 실계정 1건과 본인확인 5건이 그대로 남는 것을 확인했다(TC-Z02).</t>
        </is>
      </c>
      <c r="O9" s="3" t="inlineStr">
        <is>
          <t>처리 완료</t>
        </is>
      </c>
      <c r="P9" s="3" t="inlineStr">
        <is>
          <t>검수 완료</t>
        </is>
      </c>
      <c r="Q9" s="3" t="inlineStr">
        <is>
          <t>2026-08-26</t>
        </is>
      </c>
      <c r="R9" s="3" t="inlineStr">
        <is>
          <t>2026-08-26</t>
        </is>
      </c>
    </row>
    <row r="10" ht="88" customHeight="1">
      <c r="A10" s="3" t="inlineStr">
        <is>
          <t>REQ-009</t>
        </is>
      </c>
      <c r="B10" s="3" t="inlineStr">
        <is>
          <t>-</t>
        </is>
      </c>
      <c r="C10" s="3" t="inlineStr">
        <is>
          <t>기타</t>
        </is>
      </c>
      <c r="D10" s="3" t="inlineStr">
        <is>
          <t>Minor</t>
        </is>
      </c>
      <c r="E10" s="3" t="inlineStr">
        <is>
          <t>3순위</t>
        </is>
      </c>
      <c r="F10" s="3" t="inlineStr">
        <is>
          <t>리셋 직후 시연 계정(demo@farmfi.test)이 만들어지지 않았다 — 결함 아님, 원인 확인</t>
        </is>
      </c>
      <c r="G10" s="3" t="inlineStr">
        <is>
          <t>리셋을 돌리면 seedScenario 가 '시연' 투자자를 만들고 그 계정으로 로그인할 수 있어야 한다.</t>
        </is>
      </c>
      <c r="H10" s="3" t="inlineStr">
        <is>
          <t>리셋 두 번 연속으로 응답의 investors 가 [김투자, 이서연, 박준혁] 이고 DB 에도 시연 계정이 없었다. 로그인 401. 같은 세션 뒤쪽에서 다시 리셋하니 시드 순번 그대로 정상 생성됐다(id cmt7kzoxr…, 최영호와 김투자 사이).</t>
        </is>
      </c>
      <c r="I10" s="3" t="inlineStr">
        <is>
          <t>관리자 &gt; 데모 리셋</t>
        </is>
      </c>
      <c r="J10" s="3" t="inlineStr">
        <is>
          <t>-</t>
        </is>
      </c>
      <c r="K10" s="3" t="inlineStr">
        <is>
          <t>1회</t>
        </is>
      </c>
      <c r="L10" s="3" t="inlineStr">
        <is>
          <t>2026-08-25</t>
        </is>
      </c>
      <c r="M10" s="3" t="inlineStr">
        <is>
          <t>리셋 응답 · User 테이블 조회 2회(없음) → 이후 조회(있음, 시드 순번 id cmt7kzoxr…) · 커밋 5ed2c88c 와 그 배포 시각</t>
        </is>
      </c>
      <c r="N10" s="3" t="inlineStr">
        <is>
          <t>결함이 아니다. 커밋 5ed2c88c `feat: 초기화해도 시연 계정이 살아남게 한다`(08-24 22:07)가 시드에 시연 계정 생성 블록을 넣었고, 그 배포가 내 관측 두 번 사이에 들어갔다. 앞선 두 번은 그 블록이 없는 배포본이었다. 남기는 이유는 하나다 — QA 중에 다른 세션이 같은 저장소에 배포하면 같은 TC 가 다른 코드를 본다. 라운드마다 배포 커밋 SHA 를 적는다.</t>
        </is>
      </c>
      <c r="O10" s="13" t="inlineStr">
        <is>
          <t>처리 완료</t>
        </is>
      </c>
      <c r="P10" s="3" t="inlineStr">
        <is>
          <t>검수 전</t>
        </is>
      </c>
      <c r="Q10" s="3" t="inlineStr">
        <is>
          <t>2026-08-25</t>
        </is>
      </c>
      <c r="R10" s="3" t="inlineStr"/>
    </row>
  </sheetData>
  <autoFilter ref="A1:U10"/>
  <dataValidations count="6">
    <dataValidation sqref="C2:C10" showDropDown="0" showInputMessage="0" showErrorMessage="0" allowBlank="1" type="list">
      <formula1>"긴급 버그,기능 결함,UX,UI 개선,콘텐츠·문구,성능,기타"</formula1>
    </dataValidation>
    <dataValidation sqref="D2:D10" showDropDown="0" showInputMessage="0" showErrorMessage="0" allowBlank="1" type="list">
      <formula1>"Critical,Major,Minor"</formula1>
    </dataValidation>
    <dataValidation sqref="E2:E10" showDropDown="0" showInputMessage="0" showErrorMessage="0" allowBlank="1" type="list">
      <formula1>"1순위,2순위,3순위"</formula1>
    </dataValidation>
    <dataValidation sqref="K2:K10" showDropDown="0" showInputMessage="0" showErrorMessage="0" allowBlank="1" type="list">
      <formula1>"항상,가끔,1회"</formula1>
    </dataValidation>
    <dataValidation sqref="O2:O10" showDropDown="0" showInputMessage="0" showErrorMessage="0" allowBlank="1" type="list">
      <formula1>"확인 전,처리 중,처리 완료,검수 완료,보류"</formula1>
    </dataValidation>
    <dataValidation sqref="P2:P10" showDropDown="0" showInputMessage="0" showErrorMessage="0" allowBlank="1" type="list">
      <formula1>"검수 전,검수 완료,반려"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18" customWidth="1" min="4" max="4"/>
    <col width="18" customWidth="1" min="5" max="5"/>
    <col width="13" customWidth="1" min="6" max="6"/>
    <col width="50" customWidth="1" min="7" max="7"/>
    <col width="13" customWidth="1" min="8" max="8"/>
  </cols>
  <sheetData>
    <row r="1">
      <c r="A1" s="12" t="inlineStr">
        <is>
          <t>공통 TC</t>
        </is>
      </c>
      <c r="B1" s="12" t="inlineStr">
        <is>
          <t>적용 화면 수</t>
        </is>
      </c>
      <c r="C1" s="12" t="inlineStr">
        <is>
          <t>1차 결과</t>
        </is>
      </c>
      <c r="D1" s="12" t="inlineStr">
        <is>
          <t>2차 결과</t>
        </is>
      </c>
      <c r="E1" s="12" t="inlineStr">
        <is>
          <t>3차 결과</t>
        </is>
      </c>
      <c r="F1" s="12" t="inlineStr">
        <is>
          <t>비고</t>
        </is>
      </c>
    </row>
    <row r="2" ht="34" customHeight="1">
      <c r="A2" s="3" t="inlineStr">
        <is>
          <t>역할에 없는 화면 접근 시 차단된다</t>
        </is>
      </c>
      <c r="B2" s="3" t="n">
        <v>4</v>
      </c>
      <c r="C2" s="14" t="inlineStr">
        <is>
          <t>Fail — REQ-004</t>
        </is>
      </c>
      <c r="D2" s="13" t="inlineStr">
        <is>
          <t>Pass</t>
        </is>
      </c>
      <c r="E2" s="13" t="inlineStr">
        <is>
          <t>Pass</t>
        </is>
      </c>
      <c r="F2" s="3" t="inlineStr">
        <is>
          <t>투자자 세션으로 /admin·/operator 화면이 200 렌더 → 레이아웃 가드 후 자기 역할 홈으로 리다이렉트</t>
        </is>
      </c>
    </row>
    <row r="3" ht="34" customHeight="1">
      <c r="A3" s="3" t="inlineStr">
        <is>
          <t>로그인 없이 보호 API 호출 시 401</t>
        </is>
      </c>
      <c r="B3" s="3" t="n">
        <v>30</v>
      </c>
      <c r="C3" s="14" t="inlineStr">
        <is>
          <t>Fail — REQ-005</t>
        </is>
      </c>
      <c r="D3" s="13" t="inlineStr">
        <is>
          <t>Pass</t>
        </is>
      </c>
      <c r="E3" s="13" t="inlineStr">
        <is>
          <t>Pass</t>
        </is>
      </c>
      <c r="F3" s="3" t="inlineStr">
        <is>
          <t>31개 중 /api/projects 는 명세 2장에서 비회원 공개. 나머지 30개 중 28개 정상 401, optimization·briefing 2개가 200이었다</t>
        </is>
      </c>
    </row>
    <row r="4" ht="34" customHeight="1">
      <c r="A4" s="3" t="inlineStr">
        <is>
          <t>화면 진입 시 콘솔 오류가 없다</t>
        </is>
      </c>
      <c r="B4" s="3" t="n">
        <v>58</v>
      </c>
      <c r="C4" s="14" t="inlineStr">
        <is>
          <t>일부 Fail</t>
        </is>
      </c>
      <c r="D4" s="13" t="inlineStr">
        <is>
          <t>Pass</t>
        </is>
      </c>
      <c r="E4" s="13" t="inlineStr">
        <is>
          <t>Pass</t>
        </is>
      </c>
      <c r="F4" s="3" t="inlineStr">
        <is>
          <t>54/58 무오류. 나머지 4건은 투자자 세션의 권한 밖 화면 — 3건은 API 403(정상 방어), 1건은 /subscriptions 의 404 → REQ-007</t>
        </is>
      </c>
    </row>
    <row r="5" ht="34" customHeight="1">
      <c r="A5" s="3" t="inlineStr">
        <is>
          <t>모바일 390px 에서 가로 스크롤이 없다</t>
        </is>
      </c>
      <c r="B5" s="3" t="n">
        <v>5</v>
      </c>
      <c r="C5" s="14" t="inlineStr">
        <is>
          <t>Fail — REQ-006</t>
        </is>
      </c>
      <c r="D5" s="13" t="inlineStr">
        <is>
          <t>Pass</t>
        </is>
      </c>
      <c r="E5" s="13" t="inlineStr">
        <is>
          <t>Pass</t>
        </is>
      </c>
      <c r="F5" s="3" t="inlineStr">
        <is>
          <t>홈 1010px · 프로젝트 568px · 정기구독 546px · 소개 627px → 전부 뷰포트 이내</t>
        </is>
      </c>
    </row>
    <row r="6" ht="34" customHeight="1">
      <c r="A6" s="3" t="inlineStr">
        <is>
          <t>명세 금칙어(STO·지갑 주소·수익 보장)가 없다</t>
        </is>
      </c>
      <c r="B6" s="3" t="n">
        <v>58</v>
      </c>
      <c r="C6" s="13" t="inlineStr">
        <is>
          <t>Pass</t>
        </is>
      </c>
      <c r="D6" s="3" t="inlineStr">
        <is>
          <t>확인 필요</t>
        </is>
      </c>
      <c r="E6" s="3" t="inlineStr">
        <is>
          <t>Pass</t>
        </is>
      </c>
      <c r="F6" s="3" t="inlineStr">
        <is>
          <t>1차 검출 0건. 요청 3으로 '총 배정 토큰·내 보유 토큰' 라벨이 들어가, 3차에서 그 둘을 명세 18장 예외로 두고 다시 검사했다 — 0건</t>
        </is>
      </c>
    </row>
    <row r="7" ht="34" customHeight="1">
      <c r="A7" s="3" t="inlineStr">
        <is>
          <t>실패 응답에 사유와 다음 행동이 있다</t>
        </is>
      </c>
      <c r="B7" s="3" t="n">
        <v>12</v>
      </c>
      <c r="C7" s="13" t="inlineStr">
        <is>
          <t>Pass</t>
        </is>
      </c>
      <c r="D7" s="13" t="inlineStr">
        <is>
          <t>Pass</t>
        </is>
      </c>
      <c r="E7" s="13" t="inlineStr">
        <is>
          <t>Pass</t>
        </is>
      </c>
      <c r="F7" s="3" t="inlineStr">
        <is>
          <t>명세 14장 오류 코드 문구 — 400/403 응답 모두 한국어 사유 포함</t>
        </is>
      </c>
    </row>
    <row r="8" ht="34" customHeight="1">
      <c r="A8" s="3" t="inlineStr">
        <is>
          <t>쓰기 경로 검증 후 시드가 복구된다</t>
        </is>
      </c>
      <c r="B8" s="3" t="n">
        <v>3</v>
      </c>
      <c r="C8" s="13" t="inlineStr">
        <is>
          <t>Pass</t>
        </is>
      </c>
      <c r="D8" s="13" t="inlineStr">
        <is>
          <t>Pass</t>
        </is>
      </c>
      <c r="E8" s="13" t="inlineStr">
        <is>
          <t>Pass</t>
        </is>
      </c>
      <c r="F8" s="3" t="inlineStr">
        <is>
          <t>/api/demo/reset 으로 모집액·발행·입금 기록 원복 확인. 3차부터는 리셋이 시드 계정만 지우므로 실계정과 본인확인 기록을 백업할 필요가 없다(REQ-008).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6" customWidth="1" min="3" max="3"/>
    <col width="24" customWidth="1" min="4" max="4"/>
    <col width="36" customWidth="1" min="5" max="5"/>
    <col width="22" customWidth="1" min="6" max="6"/>
  </cols>
  <sheetData>
    <row r="1">
      <c r="A1" s="12" t="inlineStr">
        <is>
          <t>기능 ID</t>
        </is>
      </c>
      <c r="B1" s="12" t="inlineStr">
        <is>
          <t>기능명</t>
        </is>
      </c>
      <c r="C1" s="12" t="inlineStr">
        <is>
          <t>기대 동작</t>
        </is>
      </c>
      <c r="D1" s="12" t="inlineStr">
        <is>
          <t>입력</t>
        </is>
      </c>
      <c r="E1" s="12" t="inlineStr">
        <is>
          <t>기대 출력</t>
        </is>
      </c>
      <c r="F1" s="12" t="inlineStr">
        <is>
          <t>근거</t>
        </is>
      </c>
    </row>
    <row r="2" ht="44" customHeight="1">
      <c r="A2" s="3" t="inlineStr">
        <is>
          <t>F-01</t>
        </is>
      </c>
      <c r="B2" s="3" t="inlineStr">
        <is>
          <t>서비스 홈 · 프로젝트 카드</t>
        </is>
      </c>
      <c r="C2" s="3" t="inlineStr">
        <is>
          <t>비회원이 서비스를 이해하고 역할로 진입한다. 로그인 전에는 내 투자·알림·운영자·관리자 메뉴를 노출하지 않고, 진행 중 프로젝트 목록도 열지 않는다.</t>
        </is>
      </c>
      <c r="D2" s="3" t="inlineStr">
        <is>
          <t>-</t>
        </is>
      </c>
      <c r="E2" s="3" t="inlineStr">
        <is>
          <t>프로젝트 카드(잠금 상태) · 원금 비보장 고지 · 역할별 CTA</t>
        </is>
      </c>
      <c r="F2" s="3" t="inlineStr">
        <is>
          <t>명세 C-01</t>
        </is>
      </c>
    </row>
    <row r="3" ht="44" customHeight="1">
      <c r="A3" s="3" t="inlineStr">
        <is>
          <t>F-02</t>
        </is>
      </c>
      <c r="B3" s="3" t="inlineStr">
        <is>
          <t>로그인 · 회원가입</t>
        </is>
      </c>
      <c r="C3" s="3" t="inlineStr">
        <is>
          <t>이메일+비밀번호 로그인. 실패 사유를 계정 열거가 되지 않게 통합 노출.</t>
        </is>
      </c>
      <c r="D3" s="3" t="inlineStr">
        <is>
          <t>이메일, 비밀번호</t>
        </is>
      </c>
      <c r="E3" s="3" t="inlineStr">
        <is>
          <t>세션 쿠키 + 역할 홈(또는 next) 이동</t>
        </is>
      </c>
      <c r="F3" s="3" t="inlineStr">
        <is>
          <t>명세 C-02·C-03</t>
        </is>
      </c>
    </row>
    <row r="4" ht="44" customHeight="1">
      <c r="A4" s="3" t="inlineStr">
        <is>
          <t>F-03</t>
        </is>
      </c>
      <c r="B4" s="3" t="inlineStr">
        <is>
          <t>본인확인 (모바일 신분증·계좌)</t>
        </is>
      </c>
      <c r="C4" s="3" t="inlineStr">
        <is>
          <t>첫 투자 전 모바일 신분증 확인 필수. 실명·성인·확인시각만 저장하고 신분증 원문은 저장하지 않는다. 방법 선택 → 신분증 → 계좌가 돌아갈 경로를 이어받는다.</t>
        </is>
      </c>
      <c r="D4" s="3" t="inlineStr">
        <is>
          <t>인증 요청 · 은행·계좌번호</t>
        </is>
      </c>
      <c r="E4" s="3" t="inlineStr">
        <is>
          <t>본인확인 결과 · 회수 계좌 등록 · 원래 화면 복귀</t>
        </is>
      </c>
      <c r="F4" s="3" t="inlineStr">
        <is>
          <t>명세 C-I01~C-I03, 3.2</t>
        </is>
      </c>
    </row>
    <row r="5" ht="44" customHeight="1">
      <c r="A5" s="3" t="inlineStr">
        <is>
          <t>F-04</t>
        </is>
      </c>
      <c r="B5" s="3" t="inlineStr">
        <is>
          <t>프로젝트 상세</t>
        </is>
      </c>
      <c r="C5" s="3" t="inlineStr">
        <is>
          <t>공간 규모·설비·예상 회수 조건을 프로젝트별 값으로 표시. 배분 현황은 이 지점에 배정된 전체 구좌 중 내 몫으로 보여준다.</t>
        </is>
      </c>
      <c r="D5" s="3" t="inlineStr">
        <is>
          <t>projectId</t>
        </is>
      </c>
      <c r="E5" s="3" t="inlineStr">
        <is>
          <t>기본정보·배분 현황·마일스톤·위험 고지</t>
        </is>
      </c>
      <c r="F5" s="3" t="inlineStr">
        <is>
          <t>명세 I-01</t>
        </is>
      </c>
    </row>
    <row r="6" ht="44" customHeight="1">
      <c r="A6" s="3" t="inlineStr">
        <is>
          <t>F-05</t>
        </is>
      </c>
      <c r="B6" s="3" t="inlineStr">
        <is>
          <t>투자 적합성 확인</t>
        </is>
      </c>
      <c r="C6" s="3" t="inlineStr">
        <is>
          <t>원금 비보장·중도 회수 제한 이해 확인 후 적합/한도 제한/신청 불가 판정. 본인확인 미완료는 한도가 아니라 본인확인 안내로 보낸다.</t>
        </is>
      </c>
      <c r="D6" s="3" t="inlineStr">
        <is>
          <t>청약 금액</t>
        </is>
      </c>
      <c r="E6" s="3" t="inlineStr">
        <is>
          <t>eligible 판정 + 사유별 다음 행동</t>
        </is>
      </c>
      <c r="F6" s="3" t="inlineStr">
        <is>
          <t>명세 I-02, I-02E</t>
        </is>
      </c>
    </row>
    <row r="7" ht="44" customHeight="1">
      <c r="A7" s="3" t="inlineStr">
        <is>
          <t>F-06</t>
        </is>
      </c>
      <c r="B7" s="3" t="inlineStr">
        <is>
          <t>계약 동의 · 가상계좌 납입</t>
        </is>
      </c>
      <c r="C7" s="3" t="inlineStr">
        <is>
          <t>필수 문서 3종 동의 → AWAITING_DEPOSIT → 건별 가상계좌·입금기한 발급. 계약 동의와 입금 확인은 별개 이벤트.</t>
        </is>
      </c>
      <c r="D7" s="3" t="inlineStr">
        <is>
          <t>서명</t>
        </is>
      </c>
      <c r="E7" s="3" t="inlineStr">
        <is>
          <t>가상계좌, 입금기한, 신청 상태</t>
        </is>
      </c>
      <c r="F7" s="3" t="inlineStr">
        <is>
          <t>명세 I-03</t>
        </is>
      </c>
    </row>
    <row r="8" ht="44" customHeight="1">
      <c r="A8" s="3" t="inlineStr">
        <is>
          <t>F-07</t>
        </is>
      </c>
      <c r="B8" s="3" t="inlineStr">
        <is>
          <t>입금 웹훅 · 보유 구좌 발행</t>
        </is>
      </c>
      <c r="C8" s="3" t="inlineStr">
        <is>
          <t>은행 웹훅으로 입금 확인 → DEPOSIT_CONFIRMED → 수탁 지갑에 보유 구좌 발행. 동일 거래번호는 한 번만 처리하고, 이미 납입된 계좌로 온 입금은 확정하지 않고 관리자 검토로 보낸다.</t>
        </is>
      </c>
      <c r="D8" s="3" t="inlineStr">
        <is>
          <t>웹훅 payload</t>
        </is>
      </c>
      <c r="E8" s="3" t="inlineStr">
        <is>
          <t>DepositEvent 1건 · 발행 1건 · 초과분은 REVIEW</t>
        </is>
      </c>
      <c r="F8" s="3" t="inlineStr">
        <is>
          <t>명세 I-03, I-03E, 10.4, 18장</t>
        </is>
      </c>
    </row>
    <row r="9" ht="44" customHeight="1">
      <c r="A9" s="3" t="inlineStr">
        <is>
          <t>F-08</t>
        </is>
      </c>
      <c r="B9" s="3" t="inlineStr">
        <is>
          <t>투자 관리 (홈·보유·회수)</t>
        </is>
      </c>
      <c r="C9" s="3" t="inlineStr">
        <is>
          <t>총 투자금액·지급 예정액·프로젝트별 진행률. 보유는 투자 금액과 보유 구좌로만 표현.</t>
        </is>
      </c>
      <c r="D9" s="3" t="inlineStr">
        <is>
          <t>세션</t>
        </is>
      </c>
      <c r="E9" s="3" t="inlineStr">
        <is>
          <t>보유 구좌, 계약 상태, 지급 상태</t>
        </is>
      </c>
      <c r="F9" s="3" t="inlineStr">
        <is>
          <t>명세 I-06~I-08</t>
        </is>
      </c>
    </row>
    <row r="10" ht="44" customHeight="1">
      <c r="A10" s="3" t="inlineStr">
        <is>
          <t>F-09</t>
        </is>
      </c>
      <c r="B10" s="3" t="inlineStr">
        <is>
          <t>정기구독 신청</t>
        </is>
      </c>
      <c r="C10" s="3" t="inlineStr">
        <is>
          <t>지점을 먼저 선택해야 해당 지점 재고로 팩을 구성한다. 팩 크기만큼 정확히, 드레싱은 총 2봉.</t>
        </is>
      </c>
      <c r="D10" s="3" t="inlineStr">
        <is>
          <t>지점, 팩크기, 작물, 드레싱</t>
        </is>
      </c>
      <c r="E10" s="3" t="inlineStr">
        <is>
          <t>구독 생성 + 다음 픽업 안내</t>
        </is>
      </c>
      <c r="F10" s="3" t="inlineStr">
        <is>
          <t>명세 B-01~B-06</t>
        </is>
      </c>
    </row>
    <row r="11" ht="44" customHeight="1">
      <c r="A11" s="3" t="inlineStr">
        <is>
          <t>F-10</t>
        </is>
      </c>
      <c r="B11" s="3" t="inlineStr">
        <is>
          <t>내 구독 · 픽업</t>
        </is>
      </c>
      <c r="C11" s="3" t="inlineStr">
        <is>
          <t>구독 상태·다음 결제일·변경 마감. 지점 생산 잔여분 범위에서만 변경.</t>
        </is>
      </c>
      <c r="D11" s="3" t="inlineStr">
        <is>
          <t>세션</t>
        </is>
      </c>
      <c r="E11" s="3" t="inlineStr">
        <is>
          <t>구독 상태, 픽업 확인증</t>
        </is>
      </c>
      <c r="F11" s="3" t="inlineStr">
        <is>
          <t>명세 B-07, B-09</t>
        </is>
      </c>
    </row>
    <row r="12" ht="44" customHeight="1">
      <c r="A12" s="3" t="inlineStr">
        <is>
          <t>F-11</t>
        </is>
      </c>
      <c r="B12" s="3" t="inlineStr">
        <is>
          <t>운영자 신청 흐름</t>
        </is>
      </c>
      <c r="C12" s="3" t="inlineStr">
        <is>
          <t>공간 탐색 → 방문 → 자격·서류 → 교육 → 확정 → 계약 → 보증서. 모든 단계 자동저장·이전 단계 제공.</t>
        </is>
      </c>
      <c r="D12" s="3" t="inlineStr">
        <is>
          <t>신청 데이터</t>
        </is>
      </c>
      <c r="E12" s="3" t="inlineStr">
        <is>
          <t>단계별 상태 · 보증서 VC</t>
        </is>
      </c>
      <c r="F12" s="3" t="inlineStr">
        <is>
          <t>명세 O-01~O-09</t>
        </is>
      </c>
    </row>
    <row r="13" ht="44" customHeight="1">
      <c r="A13" s="3" t="inlineStr">
        <is>
          <t>F-12</t>
        </is>
      </c>
      <c r="B13" s="3" t="inlineStr">
        <is>
          <t>마일스톤 증빙 제출</t>
        </is>
      </c>
      <c r="C13" s="3" t="inlineStr">
        <is>
          <t>배정된 지점의 단계에만 증빙 제출. 남의 지점과 아직 배정되지 않은 지점 모두 거부한다.</t>
        </is>
      </c>
      <c r="D13" s="3" t="inlineStr">
        <is>
          <t>urls, hashes</t>
        </is>
      </c>
      <c r="E13" s="3" t="inlineStr">
        <is>
          <t>상태 evidence_submitted + 체인 해시 기록</t>
        </is>
      </c>
      <c r="F13" s="3" t="inlineStr">
        <is>
          <t>명세 O-11</t>
        </is>
      </c>
    </row>
    <row r="14" ht="44" customHeight="1">
      <c r="A14" s="3" t="inlineStr">
        <is>
          <t>F-13</t>
        </is>
      </c>
      <c r="B14" s="3" t="inlineStr">
        <is>
          <t>매장 운영 현황 · 생육 최적화</t>
        </is>
      </c>
      <c r="C14" s="3" t="inlineStr">
        <is>
          <t>배정 지점의 생육·환경·재고·매출 조회. 배정되지 않은 지점의 데이터는 화면에서도 API에서도 보이지 않는다.</t>
        </is>
      </c>
      <c r="D14" s="3" t="inlineStr">
        <is>
          <t>projectId</t>
        </is>
      </c>
      <c r="E14" s="3" t="inlineStr">
        <is>
          <t>생육/환경/이상/재고/매출 + 오늘 할 일</t>
        </is>
      </c>
      <c r="F14" s="3" t="inlineStr">
        <is>
          <t>명세 7장</t>
        </is>
      </c>
    </row>
    <row r="15" ht="44" customHeight="1">
      <c r="A15" s="3" t="inlineStr">
        <is>
          <t>F-14</t>
        </is>
      </c>
      <c r="B15" s="3" t="inlineStr">
        <is>
          <t>관리자 콘솔</t>
        </is>
      </c>
      <c r="C15" s="3" t="inlineStr">
        <is>
          <t>심사·배정·프로젝트·마일스톤·설비·정산 관리. 모든 변경은 감사 로그 기록.</t>
        </is>
      </c>
      <c r="D15" s="3" t="inlineStr">
        <is>
          <t>세션(admin)</t>
        </is>
      </c>
      <c r="E15" s="3" t="inlineStr">
        <is>
          <t>업무 큐 + 각 업무 화면</t>
        </is>
      </c>
      <c r="F15" s="3" t="inlineStr">
        <is>
          <t>명세 A-01~A-16</t>
        </is>
      </c>
    </row>
    <row r="16" ht="44" customHeight="1">
      <c r="A16" s="3" t="inlineStr">
        <is>
          <t>F-15</t>
        </is>
      </c>
      <c r="B16" s="3" t="inlineStr">
        <is>
          <t>마일스톤 검토·승인·집행</t>
        </is>
      </c>
      <c r="C16" s="3" t="inlineStr">
        <is>
          <t>조건 항목별 판정을 모두 지정해야 승인 버튼이 열린다. APPROVED가 아니면 집행 API가 거부한다.</t>
        </is>
      </c>
      <c r="D16" s="3" t="inlineStr">
        <is>
          <t>decision, items</t>
        </is>
      </c>
      <c r="E16" s="3" t="inlineStr">
        <is>
          <t>상태 APPROVED · 트랜치 집행</t>
        </is>
      </c>
      <c r="F16" s="3" t="inlineStr">
        <is>
          <t>명세 A-08, A-07, 18장</t>
        </is>
      </c>
    </row>
    <row r="17" ht="44" customHeight="1">
      <c r="A17" s="3" t="inlineStr">
        <is>
          <t>F-16</t>
        </is>
      </c>
      <c r="B17" s="3" t="inlineStr">
        <is>
          <t>감사 로그</t>
        </is>
      </c>
      <c r="C17" s="3" t="inlineStr">
        <is>
          <t>청약·검증·집행·정산·권한 변경 기록. 지우거나 고칠 수 없다.</t>
        </is>
      </c>
      <c r="D17" s="3" t="inlineStr">
        <is>
          <t>필터</t>
        </is>
      </c>
      <c r="E17" s="3" t="inlineStr">
        <is>
          <t>감사 로그 목록 + CSV</t>
        </is>
      </c>
      <c r="F17" s="3" t="inlineStr">
        <is>
          <t>명세 3.5, A-08</t>
        </is>
      </c>
    </row>
    <row r="18" ht="44" customHeight="1">
      <c r="A18" s="3" t="inlineStr">
        <is>
          <t>F-17</t>
        </is>
      </c>
      <c r="B18" s="3" t="inlineStr">
        <is>
          <t>권한 경계</t>
        </is>
      </c>
      <c r="C18" s="3" t="inlineStr">
        <is>
          <t>투자자는 운영자·관리자 메뉴나 API에 접근할 수 없다. 역할에 없는 화면은 자기 역할 홈으로 보낸다.</t>
        </is>
      </c>
      <c r="D18" s="3" t="inlineStr">
        <is>
          <t>세션 역할</t>
        </is>
      </c>
      <c r="E18" s="3" t="inlineStr">
        <is>
          <t>403 · 리다이렉트</t>
        </is>
      </c>
      <c r="F18" s="3" t="inlineStr">
        <is>
          <t>명세 2장, 18장</t>
        </is>
      </c>
    </row>
    <row r="19" ht="44" customHeight="1">
      <c r="A19" s="3" t="inlineStr">
        <is>
          <t>F-18</t>
        </is>
      </c>
      <c r="B19" s="3" t="inlineStr">
        <is>
          <t>공통 UI · 반응형</t>
        </is>
      </c>
      <c r="C19" s="3" t="inlineStr">
        <is>
          <t>화면 어디에도 STO·토큰 배정·지갑 주소·고정 수익 보장 문구를 노출하지 않는다. 좁은 화면에서 본문이 뷰포트를 넘지 않는다.</t>
        </is>
      </c>
      <c r="D19" s="3" t="inlineStr">
        <is>
          <t>-</t>
        </is>
      </c>
      <c r="E19" s="3" t="inlineStr">
        <is>
          <t>역할별 내비 · 반응형 레이아웃</t>
        </is>
      </c>
      <c r="F19" s="3" t="inlineStr">
        <is>
          <t>명세 15장, 18장</t>
        </is>
      </c>
    </row>
    <row r="21">
      <c r="A21" s="8" t="inlineStr">
        <is>
          <t>기대 동작은 docs/feature-spec.md 로 확정했다. 관측만으로 추론한 항목은 없다 — 명세에 없는 화면은 TC 를 만들지 않았다.</t>
        </is>
      </c>
    </row>
  </sheetData>
  <mergeCells count="1"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2026-08-24T19:01:22Z</dcterms:created>
  <dcterms:modified xmlns:dcterms="http://purl.org/dc/terms/" xmlns:xsi="http://www.w3.org/2001/XMLSchema-instance" xsi:type="dcterms:W3CDTF">2026-08-25T15:52:01Z</dcterms:modified>
</cp:coreProperties>
</file>